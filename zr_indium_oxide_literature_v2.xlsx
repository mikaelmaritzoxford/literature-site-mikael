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uybo\Downloads\"/>
    </mc:Choice>
  </mc:AlternateContent>
  <xr:revisionPtr revIDLastSave="0" documentId="13_ncr:1_{645C5815-89B8-46E2-B8EF-12F8E96998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in" sheetId="1" r:id="rId1"/>
    <sheet name="Papers" sheetId="2" r:id="rId2"/>
    <sheet name="Reported Data" sheetId="3" r:id="rId3"/>
    <sheet name="Notes" sheetId="4" r:id="rId4"/>
    <sheet name="how_to_use" sheetId="6" r:id="rId5"/>
  </sheets>
  <definedNames>
    <definedName name="_xlnm._FilterDatabase" localSheetId="3">Notes!$A$1:$C$6</definedName>
    <definedName name="_xlnm._FilterDatabase" localSheetId="1" hidden="1">Papers!$A$1:$K$6</definedName>
    <definedName name="_xlnm._FilterDatabase" localSheetId="2" hidden="1">'Reported Data'!$A$1:$AI$9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3" i="4" s="1"/>
  <c r="A4" i="2"/>
  <c r="A4" i="4" s="1"/>
  <c r="A5" i="2"/>
  <c r="A5" i="4" s="1"/>
  <c r="A6" i="2"/>
  <c r="A6" i="4" s="1"/>
  <c r="A2" i="2"/>
  <c r="A2" i="4" s="1"/>
</calcChain>
</file>

<file path=xl/sharedStrings.xml><?xml version="1.0" encoding="utf-8"?>
<sst xmlns="http://schemas.openxmlformats.org/spreadsheetml/2006/main" count="269" uniqueCount="240">
  <si>
    <t>Workbook status</t>
  </si>
  <si>
    <t>How to use</t>
  </si>
  <si>
    <t>Papers</t>
  </si>
  <si>
    <t>1. Add or edit paper metadata in Papers.</t>
  </si>
  <si>
    <t>Reported data rows</t>
  </si>
  <si>
    <t>2. Add one row per sample/condition in Reported Data.</t>
  </si>
  <si>
    <t>Notes rows</t>
  </si>
  <si>
    <t>3. Write paper-level takeaways in Notes.</t>
  </si>
  <si>
    <t>Last updated</t>
  </si>
  <si>
    <t>4. Keep source URLs and fields aligned so the sheet can later drive a website.</t>
  </si>
  <si>
    <t>Paper ID</t>
  </si>
  <si>
    <t>First author</t>
  </si>
  <si>
    <t>Last author</t>
  </si>
  <si>
    <t>Journal</t>
  </si>
  <si>
    <t>Year</t>
  </si>
  <si>
    <t>Title</t>
  </si>
  <si>
    <t>DOI</t>
  </si>
  <si>
    <t>Source URL</t>
  </si>
  <si>
    <t>Abstract summary</t>
  </si>
  <si>
    <t>Keywords</t>
  </si>
  <si>
    <t>Notes</t>
  </si>
  <si>
    <t>C. Manoharan</t>
  </si>
  <si>
    <t>S. Dhanapandian</t>
  </si>
  <si>
    <t>Spectrochimica Acta Part A: Molecular and Biomolecular Spectroscopy</t>
  </si>
  <si>
    <t>Structural, optical and electrical properties of Zr-doped In2O3 thin films</t>
  </si>
  <si>
    <t>10.1016/j.saa.2015.02.099</t>
  </si>
  <si>
    <t>https://pubmed.ncbi.nlm.nih.gov/25766478/</t>
  </si>
  <si>
    <t>Spray-pyrolyzed Zr-doped In2O3 films on glass (450 C, 0-11 at.% Zr) retained cubic structure; the abstract reports grain size decreasing from 25 to 15.75 nm, optical band gap decreasing from 3.50 to 3.0 eV, and a best resistivity of 6.4e-4 ohm·cm with carrier concentration 2.5e20 cm^-3 at 7 at.% Zr.</t>
  </si>
  <si>
    <t>spray pyrolysis; optical bandgap; resistivity; carrier concentration</t>
  </si>
  <si>
    <t>Jingying Zhang</t>
  </si>
  <si>
    <t>Junbiao Peng</t>
  </si>
  <si>
    <t>Coatings</t>
  </si>
  <si>
    <t>The Effect of Zirconium Doping on Solution-Processed Indium Oxide Thin Films Measured by a Novel Nondestructive Testing Method (Microwave Photoconductivity Decay)</t>
  </si>
  <si>
    <t>10.3390/coatings9070426</t>
  </si>
  <si>
    <t>https://www.mdpi.com/2079-6412/9/7/426</t>
  </si>
  <si>
    <t>Solution-processed InxZryO thin films with Zr:In = 0, 5, 10, and 15 at.% were studied with post-anneals from 250 to 400 C. Zr doping improved crystallinity and density; the conclusions report a minimum oxygen vacancy fraction of 26.09% at 10 at.% Zr after annealing at 400 C.</t>
  </si>
  <si>
    <t>solution processing; Zr concentration; oxygen vacancies; mu-PCD</t>
  </si>
  <si>
    <t>Monica Morales-Masis</t>
  </si>
  <si>
    <t>Christophe Ballif</t>
  </si>
  <si>
    <t>IEEE Journal of Photovoltaics</t>
  </si>
  <si>
    <t>Highly Conductive and Broadband Transparent Zr-Doped In2O3 as Front Electrode for Solar Cells</t>
  </si>
  <si>
    <t>10.1109/JPHOTOV.2018.2851306</t>
  </si>
  <si>
    <t>https://research.utwente.nl/en/publications/highly-conductive-and-broadband-transparent-zrdoped-in2o3-as-front-electrode-for-solar-cells%286108e8ab-8e48-4486-8679-e45552efa3fb%29.html</t>
  </si>
  <si>
    <t>A Zr-doped In2O3 transparent electrode for silicon heterojunction solar cells delivered wide band gap (3.5-4 eV), electron mobility of 100 cm^2/Vs, carrier density of 2.5-3e20 cm^-3, sheet resistance around 25 ohm/sq for 100 nm films, and device conversion efficiency of 23.4%.</t>
  </si>
  <si>
    <t>transparent electrode; band gap; mobility; solar cell</t>
  </si>
  <si>
    <t>Wei Han</t>
  </si>
  <si>
    <t>Xiaodan Zhang</t>
  </si>
  <si>
    <t>Progress in Photovoltaics: Research and Applications</t>
  </si>
  <si>
    <t>Highly conductive and broadband transparent Zr-doped In2O3 as the front electrode for monolithic perovskite/silicon tandem solar cells</t>
  </si>
  <si>
    <t>10.1002/pip.3708</t>
  </si>
  <si>
    <t>https://onlinelibrary.wiley.com/doi/10.1002/pip.3708</t>
  </si>
  <si>
    <t>Room-temperature sputtered IZrO showed mobility of 29.6 cm^2/Vs, resistivity of 3.32e-4 ohm·cm, sheet resistance of 25.55 ohm/sq, average transmittance of 81.55% from 400-1200 nm, work function of 4.33 eV, and champion tandem efficiency of 28.28%.</t>
  </si>
  <si>
    <t>work function; broadband transparency; tandem solar cell; sputtering</t>
  </si>
  <si>
    <t>Melanie Micali</t>
  </si>
  <si>
    <t>Antonio Terrasi</t>
  </si>
  <si>
    <t>Solar Energy Materials and Solar Cells</t>
  </si>
  <si>
    <t>Zirconium doped indium oxide thin films as transparent electrodes for photovoltaic applications</t>
  </si>
  <si>
    <t>10.1016/j.solmat.2024.112875</t>
  </si>
  <si>
    <t>https://amolf.nl/publications/zirconium-doped-indium-oxide-thin-films-as-transparent-electrodes-for-photovoltaic-applications</t>
  </si>
  <si>
    <t>Ultra-thin IZrO films grown at room temperature by RF co-sputtering (15-90 nm, 0.6-0.9 at.% Zr) and annealed at 200 C became more crystalline; the thinnest film reached resistivity of 5e-4 ohm·cm, mobility of 20 cm^2/Vs, and transmittance up to 80%, while 90 nm films gave EQE comparable to standard ITO.</t>
  </si>
  <si>
    <t>RF co-sputtering; ultra-thin films; EQE; photovoltaic</t>
  </si>
  <si>
    <t>Observation ID</t>
  </si>
  <si>
    <t>Sample / condition</t>
  </si>
  <si>
    <t>Dopant (at.%)</t>
  </si>
  <si>
    <t>Fabrication technique</t>
  </si>
  <si>
    <t>Deposition temp (C)</t>
  </si>
  <si>
    <t>Post-deposition temp (C)</t>
  </si>
  <si>
    <t>Vacuum pressure</t>
  </si>
  <si>
    <t>Atmosphere</t>
  </si>
  <si>
    <t>Gas mix</t>
  </si>
  <si>
    <t>Thickness (nm)</t>
  </si>
  <si>
    <t>Mobility (cm^2/Vs)</t>
  </si>
  <si>
    <t>Resistivity (ohm·cm)</t>
  </si>
  <si>
    <t>Sheet resistance (ohm/sq)</t>
  </si>
  <si>
    <t>Carrier concentration (cm^-3)</t>
  </si>
  <si>
    <t>n at wavelength</t>
  </si>
  <si>
    <t>k at wavelength</t>
  </si>
  <si>
    <t>Wavelength (nm)</t>
  </si>
  <si>
    <t>Work function / vacuum level (eV)</t>
  </si>
  <si>
    <t>Electron affinity (eV)</t>
  </si>
  <si>
    <t>Fermi energy (eV)</t>
  </si>
  <si>
    <t>Valence band edge (eV)</t>
  </si>
  <si>
    <t>Bandgap (eV)</t>
  </si>
  <si>
    <t>Current density (mA/cm^2)</t>
  </si>
  <si>
    <t>FF (%)</t>
  </si>
  <si>
    <t>Efficiency (%)</t>
  </si>
  <si>
    <t>Oxygen vacancies / notes</t>
  </si>
  <si>
    <t>Property name</t>
  </si>
  <si>
    <t>Property value</t>
  </si>
  <si>
    <t>Property unit</t>
  </si>
  <si>
    <t>Source figure/table</t>
  </si>
  <si>
    <t>Confidence</t>
  </si>
  <si>
    <t>Comments</t>
  </si>
  <si>
    <t>O1</t>
  </si>
  <si>
    <t>Undoped baseline</t>
  </si>
  <si>
    <t>Spray pyrolysis</t>
  </si>
  <si>
    <t>Air</t>
  </si>
  <si>
    <t>Optical bandgap</t>
  </si>
  <si>
    <t>eV</t>
  </si>
  <si>
    <t>Abstract</t>
  </si>
  <si>
    <t>High</t>
  </si>
  <si>
    <t>Baseline bandgap reported in the abstract; same paper reports a grain-size trend from 25 to 15.75 nm across 0-11 at.% Zr.</t>
  </si>
  <si>
    <t>O2</t>
  </si>
  <si>
    <t>Champion doped sample</t>
  </si>
  <si>
    <t>Electrical transport</t>
  </si>
  <si>
    <t>6.4e-4 Ω·cm; 2.5e20 cm^-3</t>
  </si>
  <si>
    <t>ohm·cm / cm^-3</t>
  </si>
  <si>
    <t>Abstract reports the best resistivity and carrier concentration at 7 at.% Zr.</t>
  </si>
  <si>
    <t>O3</t>
  </si>
  <si>
    <t>High-doping endpoint</t>
  </si>
  <si>
    <t>Medium</t>
  </si>
  <si>
    <t>Abstract reports bandgap decreasing to 3.0 eV as Zr concentration increases.</t>
  </si>
  <si>
    <t>O4</t>
  </si>
  <si>
    <t>Minimum-vacancy sample</t>
  </si>
  <si>
    <t>Spin coating / solution processed</t>
  </si>
  <si>
    <t>Oxygen vacancies</t>
  </si>
  <si>
    <t>%</t>
  </si>
  <si>
    <t>Conclusions / Abstract</t>
  </si>
  <si>
    <t>Conclusions report the minimum oxygen vacancy fraction and minority carrier concentration at 10 at.% Zr after annealing at 400 C.</t>
  </si>
  <si>
    <t>O5</t>
  </si>
  <si>
    <t>Optimized 100 nm film</t>
  </si>
  <si>
    <t>RF magnetron sputtering</t>
  </si>
  <si>
    <t>Heterojunction solar-cell front electrode</t>
  </si>
  <si>
    <t>Transport / optical / device</t>
  </si>
  <si>
    <t>100 cm^2/Vs; 2.5-3e20 cm^-3; ~25 ohm/sq; 3.5-4 eV; 23.4%</t>
  </si>
  <si>
    <t>mixed</t>
  </si>
  <si>
    <t>Abstract reports a wide optical band gap and device metrics for the optimized 100 nm film.</t>
  </si>
  <si>
    <t>O6</t>
  </si>
  <si>
    <t>Room-temperature sputtered film</t>
  </si>
  <si>
    <t>RF sputtering</t>
  </si>
  <si>
    <t>Broadband transparent electrode</t>
  </si>
  <si>
    <t>O2/Ar varied from 1% to 10% (reported range)</t>
  </si>
  <si>
    <t>Optoelectronic performance</t>
  </si>
  <si>
    <t>29.6 cm^2/Vs; 3.32e-4 ohm·cm; 25.55 ohm/sq; 81.55%; 4.33 eV; 28.28%</t>
  </si>
  <si>
    <t>Abstract / Supporting info</t>
  </si>
  <si>
    <t>Supporting information mentions EFermi-EVBM and optical bandgap plots; abstract provides the reported headline values.</t>
  </si>
  <si>
    <t>O7</t>
  </si>
  <si>
    <t>Thinnest film</t>
  </si>
  <si>
    <t>RF-magnetron co-sputtering</t>
  </si>
  <si>
    <t>Room temperature deposition; annealed</t>
  </si>
  <si>
    <t>Electrical / optical</t>
  </si>
  <si>
    <t>5e-4 ohm·cm; 20 cm^2/Vs; 80%</t>
  </si>
  <si>
    <t>Abstract reports that the 15 nm film had the best electrical performance and ~80% transmittance after annealing at 200 C.</t>
  </si>
  <si>
    <t>O8</t>
  </si>
  <si>
    <t>Thicker film</t>
  </si>
  <si>
    <t>Device response</t>
  </si>
  <si>
    <t>EQE comparable to standard ITO</t>
  </si>
  <si>
    <t>qualitative</t>
  </si>
  <si>
    <t>Abstract states that 90 nm IZrO films gave EQE comparable to standard ITO when used as front electrodes.</t>
  </si>
  <si>
    <t>Knowledge extracted</t>
  </si>
  <si>
    <t>Tags</t>
  </si>
  <si>
    <t>Spray-pyrolyzed Zr-doped In2O3 retains cubic structure and shows a strong trade-off between doping and transparency/electrical transport; 7 at.% is the reported transport optimum in the abstract.</t>
  </si>
  <si>
    <t>spray pyrolysis; band gap; resistivity</t>
  </si>
  <si>
    <t>Solution-processed InxZryO can be tuned by Zr concentration and anneal; the reported minimum oxygen vacancy fraction occurs at 10 at.% Zr and 400 C.</t>
  </si>
  <si>
    <t>solution processing; oxygen vacancies; annealing</t>
  </si>
  <si>
    <t>Zr-doped In2O3 is presented as a highly conductive transparent front electrode with very high mobility and competitive device efficiency in SHJ solar cells.</t>
  </si>
  <si>
    <t>front electrode; mobility; SHJ</t>
  </si>
  <si>
    <t>Room-temperature sputtered IZrO combines low resistivity, low sheet resistance, high transmittance, and a work function compatible with tandem device stacks.</t>
  </si>
  <si>
    <t>tandem; work function; transmittance</t>
  </si>
  <si>
    <t>Ultra-thin IZrO films at low Zr concentration can reach low resistivity and good transmittance; 90 nm films give EQE comparable to ITO.</t>
  </si>
  <si>
    <t>ultra-thin; EQE; annealing</t>
  </si>
  <si>
    <t>Knldg2</t>
  </si>
  <si>
    <t>Knldg3</t>
  </si>
  <si>
    <t>Knldg4</t>
  </si>
  <si>
    <t>Knldg5</t>
  </si>
  <si>
    <t>Knldg6</t>
  </si>
  <si>
    <t>Knldg7</t>
  </si>
  <si>
    <t>Knldg8</t>
  </si>
  <si>
    <t>Knldg9</t>
  </si>
  <si>
    <t>Knldg10</t>
  </si>
  <si>
    <t>Knldg11</t>
  </si>
  <si>
    <t>Knldg12</t>
  </si>
  <si>
    <t>Knldg13</t>
  </si>
  <si>
    <t>Manoharan_2015</t>
  </si>
  <si>
    <t>Zhang_2019</t>
  </si>
  <si>
    <t>Morales-Masis_2018</t>
  </si>
  <si>
    <t>Han_2023</t>
  </si>
  <si>
    <t>Micali_2024</t>
  </si>
  <si>
    <t>Column1</t>
  </si>
  <si>
    <t>Column2</t>
  </si>
  <si>
    <t>Zirconium-Doped Indium Oxide (IZrO)</t>
  </si>
  <si>
    <t>Overview</t>
  </si>
  <si>
    <t>Material motivation</t>
  </si>
  <si>
    <t>Typical applications</t>
  </si>
  <si>
    <t>The material is mainly investigated for transparent electrodes in silicon and perovskite solar cells, flat-panel displays, touch panels, and other optoelectronic devices requiring high transparency together with low electrical resistance.</t>
  </si>
  <si>
    <t>Key performance metrics</t>
  </si>
  <si>
    <t>The literature consistently evaluates IZrO using carrier mobility, carrier concentration, resistivity, sheet resistance, optical transmission, optical bandgap, work function, and compatibility with photovoltaic devices.</t>
  </si>
  <si>
    <t>Electrical Properties</t>
  </si>
  <si>
    <t>Carrier mobility</t>
  </si>
  <si>
    <t>Carrier mobility reported in the literature spans approximately 20–100 cm² V⁻¹ s⁻¹ depending on deposition technique and optimisation. RF sputtered films generally exhibit the highest mobility after careful optimisation of zirconium concentration and thermal processing.</t>
  </si>
  <si>
    <t>Resistivity</t>
  </si>
  <si>
    <t>Reported resistivities typically range from approximately 3×10⁻⁴ to 5×10⁻⁴ Ω·cm in highly optimised films. These values approach those obtained with conventional ITO while maintaining excellent optical transparency.</t>
  </si>
  <si>
    <t>Sheet resistance</t>
  </si>
  <si>
    <t>Reported sheet resistance commonly falls between 20 and 30 Ω/sq for films intended as transparent electrodes. Lower sheet resistance is generally achieved through improved crystallinity and increased carrier mobility rather than excessive carrier concentration.</t>
  </si>
  <si>
    <t>Carrier concentration</t>
  </si>
  <si>
    <t>Carrier concentrations generally lie near 10²⁰ cm⁻³. Unlike heavily doped ITO, performance improvements in IZrO are often associated with mobility enhancement rather than continuously increasing free carrier density.</t>
  </si>
  <si>
    <t>Optical Properties</t>
  </si>
  <si>
    <t>Optical transparency</t>
  </si>
  <si>
    <t>Most studies report average visible transmission above 80%. High transparency is maintained even at conductivities suitable for photovoltaic electrodes, making IZrO attractive for tandem and silicon solar cells.</t>
  </si>
  <si>
    <t>Reported optical bandgaps typically lie between 3.5 and 3.9 eV. Changes in zirconium concentration and oxygen vacancy concentration can slightly modify the apparent bandgap through Burstein–Moss effects.</t>
  </si>
  <si>
    <t>Optical constants</t>
  </si>
  <si>
    <t>Only a limited number of studies report complete optical constants (n and k). Most publications instead provide transmission spectra, requiring subsequent fitting before refractive index dispersion can be compared quantitatively.</t>
  </si>
  <si>
    <t>Electronic Structure</t>
  </si>
  <si>
    <t>Work function</t>
  </si>
  <si>
    <t>Optimised sputtered IZrO electrodes exhibit work functions around 4.3 eV. This value provides favourable alignment with several electron-selective contacts used in silicon and perovskite photovoltaic devices.</t>
  </si>
  <si>
    <t>Several studies identify oxygen vacancies as a dominant factor controlling electrical conductivity. Zirconium modifies vacancy formation and influences the balance between conductivity and optical transparency.</t>
  </si>
  <si>
    <t>Electronic band alignment</t>
  </si>
  <si>
    <t>Very few publications directly measure electron affinity or valence band position. Most electronic structure discussions rely on UPS or XPS measurements combined with optical bandgap determination.</t>
  </si>
  <si>
    <t>Processing</t>
  </si>
  <si>
    <t>Deposition methods</t>
  </si>
  <si>
    <t>Reported fabrication routes include RF sputtering, RF co-sputtering, spray pyrolysis, and solution processing. RF sputtering currently produces the highest-performing electrodes, while solution processing offers lower manufacturing cost.</t>
  </si>
  <si>
    <t>Zirconium concentration</t>
  </si>
  <si>
    <t>Most studies investigate zirconium concentrations between approximately 2 and 10 at.%. Electrical performance usually exhibits a well-defined optimum, with excessive zirconium reducing conductivity through decreased carrier density.</t>
  </si>
  <si>
    <t>Thermal treatment</t>
  </si>
  <si>
    <t>Post-deposition annealing between approximately 300°C and 500°C is frequently employed to improve crystallinity, activate dopants, and reduce resistivity. Processing temperature strongly influences both mobility and transparency.</t>
  </si>
  <si>
    <t>Process atmosphere</t>
  </si>
  <si>
    <t>Oxygen partial pressure during deposition and annealing strongly influences oxygen vacancy concentration. Careful control of oxygen availability is therefore essential for reproducible electrical performance.</t>
  </si>
  <si>
    <t>Solar Cell Applications</t>
  </si>
  <si>
    <t>Silicon photovoltaics</t>
  </si>
  <si>
    <t>Several recent studies demonstrate IZrO as a front transparent electrode for silicon heterojunction solar cells, achieving efficiencies exceeding 28% while maintaining excellent optical transmission.</t>
  </si>
  <si>
    <t>Tandem photovoltaics</t>
  </si>
  <si>
    <t>IZrO is increasingly investigated for tandem solar cells because its combination of low absorption and high conductivity reduces optical losses compared with conventional transparent conducting oxides.</t>
  </si>
  <si>
    <t>Comparison with ITO</t>
  </si>
  <si>
    <t>Most publications position IZrO as an alternative rather than a replacement for ITO. Its principal advantage lies in achieving comparable conductivity with higher mobility and potentially reduced free-carrier absorption.</t>
  </si>
  <si>
    <t>Literature Trends</t>
  </si>
  <si>
    <t>Evolution of research</t>
  </si>
  <si>
    <t>Early publications focused primarily on demonstrating conductivity improvements through zirconium doping. More recent work has shifted toward device integration and optimisation for high-efficiency silicon and tandem photovoltaics.</t>
  </si>
  <si>
    <t>Knowledge gaps</t>
  </si>
  <si>
    <t>Few studies report complete electronic structure information such as electron affinity, valence band maximum, or refractive index dispersion. Standardised reporting of these quantities would greatly improve comparison across publications.</t>
  </si>
  <si>
    <t>Experimental consistency</t>
  </si>
  <si>
    <t>Reporting standards vary considerably between studies. Deposition pressure, gas composition, substrate temperature, and annealing conditions are frequently omitted, making direct comparison difficult.</t>
  </si>
  <si>
    <t>Overall Conclusions</t>
  </si>
  <si>
    <t>Main findings</t>
  </si>
  <si>
    <t>Across multiple fabrication methods, zirconium doping consistently produces transparent conducting oxide films with high mobility, low resistivity, and excellent optical transparency suitable for advanced photovoltaic applications.</t>
  </si>
  <si>
    <t>Current limitations</t>
  </si>
  <si>
    <t>Performance remains highly sensitive to processing conditions, oxygen stoichiometry, and dopant concentration. Reproducibility between laboratories is therefore still challenging.</t>
  </si>
  <si>
    <t>Future opportunities</t>
  </si>
  <si>
    <t>Future literature would benefit from systematically reporting electronic band alignment, optical constants, deposition parameters, and complete transport properties using consistent experimental protocols.</t>
  </si>
  <si>
    <t>Zirconium-doped indium oxide (IZrO) is a transparent conducting oxide developed as an alternative to indium tin oxide.</t>
  </si>
  <si>
    <t>Zirconium acts as a non-reducing dopant that enables high carrier mobility while suppressing ionized impurity scattering.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</si>
</sst>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u/>
      <sz val="11"/>
      <color rgb="FF0563C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14" fontId="0" fillId="0" borderId="0" xfId="0" applyNumberFormat="1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37"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D0F3AD-D5A2-4A5B-A1EE-9632DC4710D9}" name="Table3" displayName="Table3" ref="A1:AI62" totalsRowShown="0" headerRowDxfId="4" dataDxfId="3">
  <autoFilter ref="A1:AI62" xr:uid="{A6D0F3AD-D5A2-4A5B-A1EE-9632DC4710D9}"/>
  <tableColumns count="35">
    <tableColumn id="1" xr3:uid="{4FB7FF31-51BE-455B-8126-D897127910AB}" name="Observation ID" dataDxfId="36"/>
    <tableColumn id="2" xr3:uid="{3766200A-D5F6-44E5-A52A-29C21521D27B}" name="Paper ID" dataDxfId="35"/>
    <tableColumn id="3" xr3:uid="{CFC2631C-110F-429D-BDC2-FFA70CA4CBD6}" name="Sample / condition" dataDxfId="34"/>
    <tableColumn id="4" xr3:uid="{C44BD349-E65D-4475-965F-F3099BD67130}" name="Dopant (at.%)" dataDxfId="33"/>
    <tableColumn id="5" xr3:uid="{F1E3CF1A-142B-4996-B61C-9C8CD0748488}" name="Fabrication technique" dataDxfId="32"/>
    <tableColumn id="6" xr3:uid="{94934A1E-99D1-400F-A813-D2F98446172E}" name="Deposition temp (C)" dataDxfId="31"/>
    <tableColumn id="7" xr3:uid="{6CB25B79-80F5-478D-BA56-D4067F12736B}" name="Post-deposition temp (C)" dataDxfId="30"/>
    <tableColumn id="8" xr3:uid="{AC757D69-864C-456C-B7FF-ABEDD52B0406}" name="Vacuum pressure" dataDxfId="29"/>
    <tableColumn id="9" xr3:uid="{0F2B6995-07C1-4E25-B753-BC66313ECDE6}" name="Atmosphere" dataDxfId="28"/>
    <tableColumn id="10" xr3:uid="{F7147EA5-F96E-4EFD-A73B-0001CC5A3BD2}" name="Gas mix" dataDxfId="27"/>
    <tableColumn id="11" xr3:uid="{E7EE7865-097B-4ED9-A964-39EB69502562}" name="Thickness (nm)" dataDxfId="26"/>
    <tableColumn id="12" xr3:uid="{18AD04E9-A2E3-4A65-A15D-AE5CAF6C459B}" name="Mobility (cm^2/Vs)" dataDxfId="25"/>
    <tableColumn id="13" xr3:uid="{2B1EEC92-06AE-43EE-BF96-5ECED5B6D225}" name="Resistivity (ohm·cm)" dataDxfId="24"/>
    <tableColumn id="14" xr3:uid="{E65C0F60-0FB8-4EB7-BBDC-9863490C8151}" name="Sheet resistance (ohm/sq)" dataDxfId="23"/>
    <tableColumn id="15" xr3:uid="{A9BC6779-FEC0-4362-AA70-F220F919C82A}" name="Carrier concentration (cm^-3)" dataDxfId="22"/>
    <tableColumn id="16" xr3:uid="{536A7F96-4E8C-4AD8-9393-76B57C0B81C5}" name="n at wavelength" dataDxfId="21"/>
    <tableColumn id="17" xr3:uid="{79E0DE35-9F3F-41A7-8C22-2079869422C4}" name="k at wavelength" dataDxfId="20"/>
    <tableColumn id="18" xr3:uid="{917AC91D-E89F-4331-8281-C9A6536ED17F}" name="Wavelength (nm)" dataDxfId="19"/>
    <tableColumn id="19" xr3:uid="{91B5DE4F-8351-42ED-8C7A-1E78DF0C8F9E}" name="Work function / vacuum level (eV)" dataDxfId="18"/>
    <tableColumn id="20" xr3:uid="{E55BFAB7-9B64-4543-8FF5-0A322787ED94}" name="Electron affinity (eV)" dataDxfId="17"/>
    <tableColumn id="21" xr3:uid="{CB47A740-EC45-4647-858D-73EE47799408}" name="Fermi energy (eV)" dataDxfId="16"/>
    <tableColumn id="22" xr3:uid="{C5663CD1-2E2B-4927-BD0E-25059EFEE354}" name="Valence band edge (eV)" dataDxfId="15"/>
    <tableColumn id="23" xr3:uid="{625BDAD1-242D-4660-A4F8-20FC0A52FD45}" name="Bandgap (eV)" dataDxfId="14"/>
    <tableColumn id="24" xr3:uid="{3E0E640F-541E-4F69-B69D-E06DCFB13056}" name="Current density (mA/cm^2)" dataDxfId="13"/>
    <tableColumn id="25" xr3:uid="{CE9F6774-CB77-4324-91FC-869FF0D35C5A}" name="FF (%)" dataDxfId="12"/>
    <tableColumn id="26" xr3:uid="{8E74244F-2141-4AF9-A903-309AB4C62A39}" name="Efficiency (%)" dataDxfId="11"/>
    <tableColumn id="27" xr3:uid="{E9499B24-8657-4776-9E45-D830828D05DF}" name="Oxygen vacancies / notes" dataDxfId="10"/>
    <tableColumn id="28" xr3:uid="{570DFF98-8320-405D-9F72-069B65E93612}" name="Property name" dataDxfId="2"/>
    <tableColumn id="29" xr3:uid="{5B2F7E33-EBAB-40EF-9949-5A8C9E82C127}" name="Property value" dataDxfId="0"/>
    <tableColumn id="30" xr3:uid="{788EF9A8-606F-4670-B105-08E91A908CD0}" name="Property unit" dataDxfId="1"/>
    <tableColumn id="31" xr3:uid="{B57FEDE1-6279-4B8D-9B4C-AEB9D2948391}" name="Source figure/table" dataDxfId="9"/>
    <tableColumn id="33" xr3:uid="{A0C80929-B4BC-43C1-8319-B4C92F5F3517}" name="Confidence" dataDxfId="8"/>
    <tableColumn id="34" xr3:uid="{95177547-389A-40DF-B60F-AD9D29EA5FF7}" name="Comments" dataDxfId="7"/>
    <tableColumn id="35" xr3:uid="{47B3DBF5-117F-4290-B041-9BE4421BE989}" name="Column1" dataDxfId="6"/>
    <tableColumn id="36" xr3:uid="{2A188E39-9519-4D68-868D-F627AA7AF75F}" name="Column2" dataDxfId="5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AD52E-1D6E-4520-8501-2B909D1028AF}" name="Table1" displayName="Table1" ref="A1:O12" totalsRowShown="0">
  <autoFilter ref="A1:O12" xr:uid="{6EEAD52E-1D6E-4520-8501-2B909D1028AF}"/>
  <tableColumns count="15">
    <tableColumn id="1" xr3:uid="{30D191E1-1B2E-421B-809D-14E6FE859867}" name="Paper ID"/>
    <tableColumn id="2" xr3:uid="{3D707E09-2894-4781-8138-990D75426E40}" name="Tags"/>
    <tableColumn id="3" xr3:uid="{0A9959DD-7729-4010-882D-DDC911119038}" name="Knowledge extracted"/>
    <tableColumn id="4" xr3:uid="{6FD457E1-E4C6-44C8-8736-6079ABFC8211}" name="Knldg2"/>
    <tableColumn id="5" xr3:uid="{1AF6AA9F-3538-4B72-BB1D-31F399297FCE}" name="Knldg3"/>
    <tableColumn id="6" xr3:uid="{01FAF23E-CFDD-4352-92F0-D9DD0F78701A}" name="Knldg4"/>
    <tableColumn id="7" xr3:uid="{2B24A92E-3CCC-4909-8BC0-231986B2A726}" name="Knldg5"/>
    <tableColumn id="8" xr3:uid="{62711128-F8A3-4E7F-8203-D8A2D577A2FD}" name="Knldg6"/>
    <tableColumn id="9" xr3:uid="{C400B2C7-3583-46C0-8C7E-BA18D933A028}" name="Knldg7"/>
    <tableColumn id="10" xr3:uid="{AA55C233-B692-4E09-9DA4-51BDCCE91D49}" name="Knldg8"/>
    <tableColumn id="11" xr3:uid="{BC5EE265-BAD6-4479-AE42-AC8ACEF70B14}" name="Knldg9"/>
    <tableColumn id="12" xr3:uid="{DE56D0A5-20C8-4C27-957B-323A421A8E46}" name="Knldg10"/>
    <tableColumn id="13" xr3:uid="{53DD04A4-39DE-4EB3-8C5A-27EF3421D8E6}" name="Knldg11"/>
    <tableColumn id="14" xr3:uid="{DFE40B6E-A2B2-4073-A899-67A779EEBDE0}" name="Knldg12"/>
    <tableColumn id="15" xr3:uid="{6E6C51F7-FB23-4297-94B3-CAB711BE9FDB}" name="Knldg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pi.com/2079-6412/9/7/426" TargetMode="External"/><Relationship Id="rId2" Type="http://schemas.openxmlformats.org/officeDocument/2006/relationships/hyperlink" Target="https://pubmed.ncbi.nlm.nih.gov/25766478/" TargetMode="External"/><Relationship Id="rId1" Type="http://schemas.openxmlformats.org/officeDocument/2006/relationships/hyperlink" Target="Source%20URL" TargetMode="External"/><Relationship Id="rId6" Type="http://schemas.openxmlformats.org/officeDocument/2006/relationships/hyperlink" Target="https://amolf.nl/publications/zirconium-doped-indium-oxide-thin-films-as-transparent-electrodes-for-photovoltaic-applications" TargetMode="External"/><Relationship Id="rId5" Type="http://schemas.openxmlformats.org/officeDocument/2006/relationships/hyperlink" Target="https://onlinelibrary.wiley.com/doi/10.1002/pip.3708" TargetMode="External"/><Relationship Id="rId4" Type="http://schemas.openxmlformats.org/officeDocument/2006/relationships/hyperlink" Target="https://research.utwente.nl/en/publications/highly-conductive-and-broadband-transparent-zrdoped-in2o3-as-front-electrode-for-solar-cells%286108e8ab-8e48-4486-8679-e45552efa3fb%29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zoomScale="130" zoomScaleNormal="130" workbookViewId="0">
      <selection activeCell="B5" sqref="B5"/>
    </sheetView>
  </sheetViews>
  <sheetFormatPr defaultRowHeight="15" x14ac:dyDescent="0.25"/>
  <cols>
    <col min="1" max="1" width="27.28515625" style="5" customWidth="1"/>
    <col min="2" max="2" width="106.140625" style="8" customWidth="1"/>
    <col min="3" max="3" width="12" customWidth="1"/>
    <col min="4" max="4" width="11.28515625" bestFit="1" customWidth="1"/>
    <col min="5" max="5" width="18.5703125" bestFit="1" customWidth="1"/>
    <col min="6" max="6" width="11.28515625" bestFit="1" customWidth="1"/>
    <col min="7" max="11" width="8.7109375" customWidth="1"/>
  </cols>
  <sheetData>
    <row r="1" spans="1:6" x14ac:dyDescent="0.25">
      <c r="A1" s="5" t="s">
        <v>180</v>
      </c>
      <c r="E1" s="5" t="s">
        <v>0</v>
      </c>
    </row>
    <row r="2" spans="1:6" x14ac:dyDescent="0.25">
      <c r="A2" s="5" t="s">
        <v>181</v>
      </c>
      <c r="E2" s="5" t="s">
        <v>2</v>
      </c>
      <c r="F2">
        <v>5</v>
      </c>
    </row>
    <row r="3" spans="1:6" ht="30" x14ac:dyDescent="0.25">
      <c r="A3" s="5" t="s">
        <v>182</v>
      </c>
      <c r="B3" s="8" t="s">
        <v>238</v>
      </c>
      <c r="E3" s="5" t="s">
        <v>4</v>
      </c>
      <c r="F3">
        <v>8</v>
      </c>
    </row>
    <row r="4" spans="1:6" ht="32.25" customHeight="1" x14ac:dyDescent="0.25">
      <c r="B4" s="8" t="s">
        <v>239</v>
      </c>
      <c r="E4" s="5" t="s">
        <v>6</v>
      </c>
      <c r="F4">
        <v>5</v>
      </c>
    </row>
    <row r="5" spans="1:6" ht="45" x14ac:dyDescent="0.25">
      <c r="A5" s="5" t="s">
        <v>183</v>
      </c>
      <c r="B5" s="8" t="s">
        <v>184</v>
      </c>
      <c r="E5" s="5" t="s">
        <v>8</v>
      </c>
      <c r="F5" s="6">
        <v>46240</v>
      </c>
    </row>
    <row r="6" spans="1:6" ht="30" x14ac:dyDescent="0.25">
      <c r="A6" s="5" t="s">
        <v>185</v>
      </c>
      <c r="B6" s="8" t="s">
        <v>186</v>
      </c>
    </row>
    <row r="8" spans="1:6" x14ac:dyDescent="0.25">
      <c r="A8" s="5" t="s">
        <v>187</v>
      </c>
    </row>
    <row r="9" spans="1:6" ht="45" x14ac:dyDescent="0.25">
      <c r="A9" s="5" t="s">
        <v>188</v>
      </c>
      <c r="B9" s="8" t="s">
        <v>189</v>
      </c>
      <c r="D9" s="2"/>
    </row>
    <row r="10" spans="1:6" ht="30" x14ac:dyDescent="0.25">
      <c r="A10" s="5" t="s">
        <v>190</v>
      </c>
      <c r="B10" s="8" t="s">
        <v>191</v>
      </c>
    </row>
    <row r="11" spans="1:6" ht="45" x14ac:dyDescent="0.25">
      <c r="A11" s="5" t="s">
        <v>192</v>
      </c>
      <c r="B11" s="8" t="s">
        <v>193</v>
      </c>
    </row>
    <row r="12" spans="1:6" ht="30" x14ac:dyDescent="0.25">
      <c r="A12" s="5" t="s">
        <v>194</v>
      </c>
      <c r="B12" s="8" t="s">
        <v>195</v>
      </c>
    </row>
    <row r="14" spans="1:6" x14ac:dyDescent="0.25">
      <c r="A14" s="5" t="s">
        <v>196</v>
      </c>
    </row>
    <row r="15" spans="1:6" ht="30" x14ac:dyDescent="0.25">
      <c r="A15" s="5" t="s">
        <v>197</v>
      </c>
      <c r="B15" s="8" t="s">
        <v>198</v>
      </c>
    </row>
    <row r="16" spans="1:6" ht="30" x14ac:dyDescent="0.25">
      <c r="A16" s="5" t="s">
        <v>97</v>
      </c>
      <c r="B16" s="8" t="s">
        <v>199</v>
      </c>
    </row>
    <row r="17" spans="1:2" ht="45" x14ac:dyDescent="0.25">
      <c r="A17" s="5" t="s">
        <v>200</v>
      </c>
      <c r="B17" s="8" t="s">
        <v>201</v>
      </c>
    </row>
    <row r="19" spans="1:2" x14ac:dyDescent="0.25">
      <c r="A19" s="5" t="s">
        <v>202</v>
      </c>
    </row>
    <row r="20" spans="1:2" ht="30" x14ac:dyDescent="0.25">
      <c r="A20" s="5" t="s">
        <v>203</v>
      </c>
      <c r="B20" s="8" t="s">
        <v>204</v>
      </c>
    </row>
    <row r="21" spans="1:2" ht="30" x14ac:dyDescent="0.25">
      <c r="A21" s="5" t="s">
        <v>115</v>
      </c>
      <c r="B21" s="8" t="s">
        <v>205</v>
      </c>
    </row>
    <row r="22" spans="1:2" ht="30" x14ac:dyDescent="0.25">
      <c r="A22" s="5" t="s">
        <v>206</v>
      </c>
      <c r="B22" s="8" t="s">
        <v>207</v>
      </c>
    </row>
    <row r="24" spans="1:2" x14ac:dyDescent="0.25">
      <c r="A24" s="5" t="s">
        <v>208</v>
      </c>
    </row>
    <row r="25" spans="1:2" ht="45" x14ac:dyDescent="0.25">
      <c r="A25" s="7" t="s">
        <v>209</v>
      </c>
      <c r="B25" s="8" t="s">
        <v>210</v>
      </c>
    </row>
    <row r="26" spans="1:2" ht="45" x14ac:dyDescent="0.25">
      <c r="A26" s="7" t="s">
        <v>211</v>
      </c>
      <c r="B26" s="8" t="s">
        <v>212</v>
      </c>
    </row>
    <row r="27" spans="1:2" ht="45" x14ac:dyDescent="0.25">
      <c r="A27" s="7" t="s">
        <v>213</v>
      </c>
      <c r="B27" s="8" t="s">
        <v>214</v>
      </c>
    </row>
    <row r="28" spans="1:2" ht="30" x14ac:dyDescent="0.25">
      <c r="A28" s="7" t="s">
        <v>215</v>
      </c>
      <c r="B28" s="8" t="s">
        <v>216</v>
      </c>
    </row>
    <row r="29" spans="1:2" x14ac:dyDescent="0.25">
      <c r="A29" s="7"/>
    </row>
    <row r="30" spans="1:2" x14ac:dyDescent="0.25">
      <c r="A30" s="5" t="s">
        <v>217</v>
      </c>
    </row>
    <row r="31" spans="1:2" ht="30" x14ac:dyDescent="0.25">
      <c r="A31" s="7" t="s">
        <v>218</v>
      </c>
      <c r="B31" s="8" t="s">
        <v>219</v>
      </c>
    </row>
    <row r="32" spans="1:2" ht="30" x14ac:dyDescent="0.25">
      <c r="A32" s="7" t="s">
        <v>220</v>
      </c>
      <c r="B32" s="8" t="s">
        <v>221</v>
      </c>
    </row>
    <row r="33" spans="1:2" ht="30" x14ac:dyDescent="0.25">
      <c r="A33" s="7" t="s">
        <v>222</v>
      </c>
      <c r="B33" s="8" t="s">
        <v>223</v>
      </c>
    </row>
    <row r="35" spans="1:2" x14ac:dyDescent="0.25">
      <c r="A35" s="5" t="s">
        <v>224</v>
      </c>
    </row>
    <row r="36" spans="1:2" ht="45" x14ac:dyDescent="0.25">
      <c r="A36" s="7" t="s">
        <v>225</v>
      </c>
      <c r="B36" s="8" t="s">
        <v>226</v>
      </c>
    </row>
    <row r="37" spans="1:2" ht="45" x14ac:dyDescent="0.25">
      <c r="A37" s="7" t="s">
        <v>227</v>
      </c>
      <c r="B37" s="8" t="s">
        <v>228</v>
      </c>
    </row>
    <row r="38" spans="1:2" ht="30" x14ac:dyDescent="0.25">
      <c r="A38" s="7" t="s">
        <v>229</v>
      </c>
      <c r="B38" s="8" t="s">
        <v>230</v>
      </c>
    </row>
    <row r="40" spans="1:2" x14ac:dyDescent="0.25">
      <c r="A40" s="5" t="s">
        <v>231</v>
      </c>
    </row>
    <row r="41" spans="1:2" ht="45" x14ac:dyDescent="0.25">
      <c r="A41" s="7" t="s">
        <v>232</v>
      </c>
      <c r="B41" s="8" t="s">
        <v>233</v>
      </c>
    </row>
    <row r="42" spans="1:2" ht="30" x14ac:dyDescent="0.25">
      <c r="A42" s="7" t="s">
        <v>234</v>
      </c>
      <c r="B42" s="8" t="s">
        <v>235</v>
      </c>
    </row>
    <row r="43" spans="1:2" ht="30" x14ac:dyDescent="0.25">
      <c r="A43" s="7" t="s">
        <v>236</v>
      </c>
      <c r="B43" s="8" t="s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showGridLines="0"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22" customWidth="1"/>
    <col min="2" max="3" width="18" customWidth="1"/>
    <col min="4" max="4" width="28" customWidth="1"/>
    <col min="5" max="5" width="8" customWidth="1"/>
    <col min="6" max="6" width="58" customWidth="1"/>
    <col min="7" max="7" width="18" customWidth="1"/>
    <col min="8" max="8" width="42" customWidth="1"/>
    <col min="9" max="9" width="78" customWidth="1"/>
    <col min="10" max="10" width="28" customWidth="1"/>
    <col min="11" max="11" width="18" customWidth="1"/>
  </cols>
  <sheetData>
    <row r="1" spans="1:11" ht="33.950000000000003" customHeigh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4" t="s">
        <v>17</v>
      </c>
      <c r="I1" s="3" t="s">
        <v>18</v>
      </c>
      <c r="J1" s="3" t="s">
        <v>19</v>
      </c>
      <c r="K1" s="3" t="s">
        <v>20</v>
      </c>
    </row>
    <row r="2" spans="1:11" ht="56.1" customHeight="1" x14ac:dyDescent="0.25">
      <c r="A2" s="3" t="str">
        <f>_xlfn.CONCAT(_xlfn.TEXTAFTER(TRIM(B2)," "),"_",E2)</f>
        <v>Manoharan_2015</v>
      </c>
      <c r="B2" s="3" t="s">
        <v>21</v>
      </c>
      <c r="C2" s="3" t="s">
        <v>22</v>
      </c>
      <c r="D2" s="3" t="s">
        <v>23</v>
      </c>
      <c r="E2" s="3">
        <v>2015</v>
      </c>
      <c r="F2" s="3" t="s">
        <v>24</v>
      </c>
      <c r="G2" s="3" t="s">
        <v>25</v>
      </c>
      <c r="H2" s="4" t="s">
        <v>26</v>
      </c>
      <c r="I2" s="3" t="s">
        <v>27</v>
      </c>
      <c r="J2" s="3" t="s">
        <v>28</v>
      </c>
      <c r="K2" s="3"/>
    </row>
    <row r="3" spans="1:11" ht="56.1" customHeight="1" x14ac:dyDescent="0.25">
      <c r="A3" s="3" t="str">
        <f t="shared" ref="A3:A6" si="0">_xlfn.CONCAT(_xlfn.TEXTAFTER(TRIM(B3)," "),"_",E3)</f>
        <v>Zhang_2019</v>
      </c>
      <c r="B3" s="3" t="s">
        <v>29</v>
      </c>
      <c r="C3" s="3" t="s">
        <v>30</v>
      </c>
      <c r="D3" s="3" t="s">
        <v>31</v>
      </c>
      <c r="E3" s="3">
        <v>2019</v>
      </c>
      <c r="F3" s="3" t="s">
        <v>32</v>
      </c>
      <c r="G3" s="3" t="s">
        <v>33</v>
      </c>
      <c r="H3" s="4" t="s">
        <v>34</v>
      </c>
      <c r="I3" s="3" t="s">
        <v>35</v>
      </c>
      <c r="J3" s="3" t="s">
        <v>36</v>
      </c>
      <c r="K3" s="3"/>
    </row>
    <row r="4" spans="1:11" ht="56.1" customHeight="1" x14ac:dyDescent="0.25">
      <c r="A4" s="3" t="str">
        <f t="shared" si="0"/>
        <v>Morales-Masis_2018</v>
      </c>
      <c r="B4" s="3" t="s">
        <v>37</v>
      </c>
      <c r="C4" s="3" t="s">
        <v>38</v>
      </c>
      <c r="D4" s="3" t="s">
        <v>39</v>
      </c>
      <c r="E4" s="3">
        <v>2018</v>
      </c>
      <c r="F4" s="3" t="s">
        <v>40</v>
      </c>
      <c r="G4" s="3" t="s">
        <v>41</v>
      </c>
      <c r="H4" s="4" t="s">
        <v>42</v>
      </c>
      <c r="I4" s="3" t="s">
        <v>43</v>
      </c>
      <c r="J4" s="3" t="s">
        <v>44</v>
      </c>
      <c r="K4" s="3"/>
    </row>
    <row r="5" spans="1:11" ht="56.1" customHeight="1" x14ac:dyDescent="0.25">
      <c r="A5" s="3" t="str">
        <f t="shared" si="0"/>
        <v>Han_2023</v>
      </c>
      <c r="B5" s="3" t="s">
        <v>45</v>
      </c>
      <c r="C5" s="3" t="s">
        <v>46</v>
      </c>
      <c r="D5" s="3" t="s">
        <v>47</v>
      </c>
      <c r="E5" s="3">
        <v>2023</v>
      </c>
      <c r="F5" s="3" t="s">
        <v>48</v>
      </c>
      <c r="G5" s="3" t="s">
        <v>49</v>
      </c>
      <c r="H5" s="4" t="s">
        <v>50</v>
      </c>
      <c r="I5" s="3" t="s">
        <v>51</v>
      </c>
      <c r="J5" s="3" t="s">
        <v>52</v>
      </c>
      <c r="K5" s="3"/>
    </row>
    <row r="6" spans="1:11" ht="56.1" customHeight="1" x14ac:dyDescent="0.25">
      <c r="A6" s="3" t="str">
        <f t="shared" si="0"/>
        <v>Micali_2024</v>
      </c>
      <c r="B6" s="3" t="s">
        <v>53</v>
      </c>
      <c r="C6" s="3" t="s">
        <v>54</v>
      </c>
      <c r="D6" s="3" t="s">
        <v>55</v>
      </c>
      <c r="E6" s="3">
        <v>2024</v>
      </c>
      <c r="F6" s="3" t="s">
        <v>56</v>
      </c>
      <c r="G6" s="3" t="s">
        <v>57</v>
      </c>
      <c r="H6" s="4" t="s">
        <v>58</v>
      </c>
      <c r="I6" s="3" t="s">
        <v>59</v>
      </c>
      <c r="J6" s="3" t="s">
        <v>60</v>
      </c>
      <c r="K6" s="3"/>
    </row>
  </sheetData>
  <autoFilter ref="A1:K6" xr:uid="{00000000-0009-0000-0000-000001000000}"/>
  <hyperlinks>
    <hyperlink ref="H1" r:id="rId1" xr:uid="{00000000-0004-0000-0100-000000000000}"/>
    <hyperlink ref="H2" r:id="rId2" xr:uid="{00000000-0004-0000-0100-000001000000}"/>
    <hyperlink ref="H3" r:id="rId3" xr:uid="{00000000-0004-0000-0100-000002000000}"/>
    <hyperlink ref="H4" r:id="rId4" xr:uid="{00000000-0004-0000-0100-000003000000}"/>
    <hyperlink ref="H5" r:id="rId5" xr:uid="{00000000-0004-0000-0100-000004000000}"/>
    <hyperlink ref="H6" r:id="rId6" xr:uid="{00000000-0004-0000-0100-00000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9"/>
  <sheetViews>
    <sheetView showGridLines="0" zoomScale="85" zoomScaleNormal="85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8.42578125" style="2" customWidth="1"/>
    <col min="2" max="2" width="20.28515625" style="2" bestFit="1" customWidth="1"/>
    <col min="3" max="3" width="23.42578125" style="2" bestFit="1" customWidth="1"/>
    <col min="4" max="4" width="15.5703125" style="2" bestFit="1" customWidth="1"/>
    <col min="5" max="5" width="15.85546875" style="2" customWidth="1"/>
    <col min="6" max="10" width="14.7109375" style="2" customWidth="1"/>
    <col min="11" max="11" width="9.28515625" style="2" customWidth="1"/>
    <col min="12" max="12" width="14.7109375" style="2" customWidth="1"/>
    <col min="13" max="13" width="11" style="2" customWidth="1"/>
    <col min="14" max="27" width="14.7109375" style="2" customWidth="1"/>
    <col min="28" max="28" width="11.28515625" style="2" customWidth="1"/>
    <col min="29" max="29" width="27.85546875" style="2" customWidth="1"/>
    <col min="30" max="31" width="14.7109375" style="2" customWidth="1"/>
    <col min="32" max="32" width="13.42578125" style="2" bestFit="1" customWidth="1"/>
    <col min="33" max="33" width="42" style="2" customWidth="1"/>
    <col min="34" max="34" width="12" style="2" customWidth="1"/>
    <col min="35" max="35" width="40" style="2" customWidth="1"/>
    <col min="36" max="16384" width="9.140625" style="2"/>
  </cols>
  <sheetData>
    <row r="1" spans="1:35" ht="45" x14ac:dyDescent="0.25">
      <c r="A1" s="3" t="s">
        <v>61</v>
      </c>
      <c r="B1" s="3" t="s">
        <v>10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  <c r="V1" s="3" t="s">
        <v>81</v>
      </c>
      <c r="W1" s="3" t="s">
        <v>82</v>
      </c>
      <c r="X1" s="3" t="s">
        <v>83</v>
      </c>
      <c r="Y1" s="3" t="s">
        <v>84</v>
      </c>
      <c r="Z1" s="3" t="s">
        <v>85</v>
      </c>
      <c r="AA1" s="3" t="s">
        <v>86</v>
      </c>
      <c r="AB1" s="3" t="s">
        <v>87</v>
      </c>
      <c r="AC1" s="3" t="s">
        <v>88</v>
      </c>
      <c r="AD1" s="3" t="s">
        <v>89</v>
      </c>
      <c r="AE1" s="3" t="s">
        <v>90</v>
      </c>
      <c r="AF1" s="3" t="s">
        <v>91</v>
      </c>
      <c r="AG1" s="3" t="s">
        <v>92</v>
      </c>
      <c r="AH1" s="2" t="s">
        <v>178</v>
      </c>
      <c r="AI1" s="2" t="s">
        <v>179</v>
      </c>
    </row>
    <row r="2" spans="1:35" ht="45" x14ac:dyDescent="0.25">
      <c r="A2" s="3" t="s">
        <v>93</v>
      </c>
      <c r="B2" s="3" t="s">
        <v>173</v>
      </c>
      <c r="C2" s="3" t="s">
        <v>94</v>
      </c>
      <c r="D2" s="3">
        <v>0</v>
      </c>
      <c r="E2" s="3" t="s">
        <v>95</v>
      </c>
      <c r="F2" s="3">
        <v>450</v>
      </c>
      <c r="G2" s="3"/>
      <c r="H2" s="3"/>
      <c r="I2" s="3" t="s">
        <v>96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>
        <v>3.5</v>
      </c>
      <c r="X2" s="3"/>
      <c r="Y2" s="3"/>
      <c r="Z2" s="3"/>
      <c r="AA2" s="3"/>
      <c r="AB2" s="3" t="s">
        <v>97</v>
      </c>
      <c r="AC2" s="3">
        <v>3.5</v>
      </c>
      <c r="AD2" s="3" t="s">
        <v>98</v>
      </c>
      <c r="AE2" s="3" t="s">
        <v>99</v>
      </c>
      <c r="AF2" s="3" t="s">
        <v>100</v>
      </c>
      <c r="AG2" s="3" t="s">
        <v>101</v>
      </c>
    </row>
    <row r="3" spans="1:35" ht="30" x14ac:dyDescent="0.25">
      <c r="A3" s="3" t="s">
        <v>102</v>
      </c>
      <c r="B3" s="3" t="s">
        <v>173</v>
      </c>
      <c r="C3" s="3" t="s">
        <v>103</v>
      </c>
      <c r="D3" s="3">
        <v>7</v>
      </c>
      <c r="E3" s="3" t="s">
        <v>95</v>
      </c>
      <c r="F3" s="3">
        <v>450</v>
      </c>
      <c r="G3" s="3"/>
      <c r="H3" s="3"/>
      <c r="I3" s="3" t="s">
        <v>96</v>
      </c>
      <c r="J3" s="3"/>
      <c r="K3" s="3"/>
      <c r="L3" s="3"/>
      <c r="M3" s="3">
        <v>6.4000000000000005E-4</v>
      </c>
      <c r="N3" s="3"/>
      <c r="O3" s="3">
        <v>2.5E+20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104</v>
      </c>
      <c r="AC3" s="3" t="s">
        <v>105</v>
      </c>
      <c r="AD3" s="3" t="s">
        <v>106</v>
      </c>
      <c r="AE3" s="3" t="s">
        <v>99</v>
      </c>
      <c r="AF3" s="3" t="s">
        <v>100</v>
      </c>
      <c r="AG3" s="3" t="s">
        <v>107</v>
      </c>
    </row>
    <row r="4" spans="1:35" ht="30" x14ac:dyDescent="0.25">
      <c r="A4" s="3" t="s">
        <v>108</v>
      </c>
      <c r="B4" s="3" t="s">
        <v>173</v>
      </c>
      <c r="C4" s="3" t="s">
        <v>109</v>
      </c>
      <c r="D4" s="3">
        <v>11</v>
      </c>
      <c r="E4" s="3" t="s">
        <v>95</v>
      </c>
      <c r="F4" s="3">
        <v>450</v>
      </c>
      <c r="G4" s="3"/>
      <c r="H4" s="3"/>
      <c r="I4" s="3" t="s">
        <v>96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>
        <v>3</v>
      </c>
      <c r="X4" s="3"/>
      <c r="Y4" s="3"/>
      <c r="Z4" s="3"/>
      <c r="AA4" s="3"/>
      <c r="AB4" s="3" t="s">
        <v>97</v>
      </c>
      <c r="AC4" s="3">
        <v>3</v>
      </c>
      <c r="AD4" s="3" t="s">
        <v>98</v>
      </c>
      <c r="AE4" s="3" t="s">
        <v>99</v>
      </c>
      <c r="AF4" s="3" t="s">
        <v>110</v>
      </c>
      <c r="AG4" s="3" t="s">
        <v>111</v>
      </c>
    </row>
    <row r="5" spans="1:35" ht="60" x14ac:dyDescent="0.25">
      <c r="A5" s="3" t="s">
        <v>112</v>
      </c>
      <c r="B5" s="3" t="s">
        <v>174</v>
      </c>
      <c r="C5" s="3" t="s">
        <v>113</v>
      </c>
      <c r="D5" s="3">
        <v>10</v>
      </c>
      <c r="E5" s="3" t="s">
        <v>114</v>
      </c>
      <c r="F5" s="3"/>
      <c r="G5" s="3">
        <v>400</v>
      </c>
      <c r="H5" s="3"/>
      <c r="I5" s="3" t="s">
        <v>96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26.09</v>
      </c>
      <c r="AB5" s="3" t="s">
        <v>115</v>
      </c>
      <c r="AC5" s="3">
        <v>26.09</v>
      </c>
      <c r="AD5" s="3" t="s">
        <v>116</v>
      </c>
      <c r="AE5" s="3" t="s">
        <v>117</v>
      </c>
      <c r="AF5" s="3" t="s">
        <v>100</v>
      </c>
      <c r="AG5" s="3" t="s">
        <v>118</v>
      </c>
    </row>
    <row r="6" spans="1:35" ht="45" x14ac:dyDescent="0.25">
      <c r="A6" s="3" t="s">
        <v>119</v>
      </c>
      <c r="B6" s="3" t="s">
        <v>175</v>
      </c>
      <c r="C6" s="3" t="s">
        <v>120</v>
      </c>
      <c r="D6" s="3"/>
      <c r="E6" s="3" t="s">
        <v>121</v>
      </c>
      <c r="F6" s="3"/>
      <c r="G6" s="3"/>
      <c r="H6" s="3"/>
      <c r="I6" s="3" t="s">
        <v>122</v>
      </c>
      <c r="J6" s="3"/>
      <c r="K6" s="3">
        <v>100</v>
      </c>
      <c r="L6" s="3">
        <v>100</v>
      </c>
      <c r="M6" s="3"/>
      <c r="N6" s="3">
        <v>25</v>
      </c>
      <c r="O6" s="3">
        <v>2.5E+20</v>
      </c>
      <c r="P6" s="3"/>
      <c r="Q6" s="3"/>
      <c r="R6" s="3"/>
      <c r="S6" s="3"/>
      <c r="T6" s="3"/>
      <c r="U6" s="3"/>
      <c r="V6" s="3"/>
      <c r="W6" s="3">
        <v>3.5</v>
      </c>
      <c r="X6" s="3">
        <v>40</v>
      </c>
      <c r="Y6" s="3">
        <v>80</v>
      </c>
      <c r="Z6" s="3">
        <v>23.4</v>
      </c>
      <c r="AA6" s="3"/>
      <c r="AB6" s="3" t="s">
        <v>123</v>
      </c>
      <c r="AC6" s="3" t="s">
        <v>124</v>
      </c>
      <c r="AD6" s="3" t="s">
        <v>125</v>
      </c>
      <c r="AE6" s="3" t="s">
        <v>99</v>
      </c>
      <c r="AF6" s="3" t="s">
        <v>100</v>
      </c>
      <c r="AG6" s="3" t="s">
        <v>126</v>
      </c>
    </row>
    <row r="7" spans="1:35" ht="60" x14ac:dyDescent="0.25">
      <c r="A7" s="3" t="s">
        <v>127</v>
      </c>
      <c r="B7" s="3" t="s">
        <v>176</v>
      </c>
      <c r="C7" s="3" t="s">
        <v>128</v>
      </c>
      <c r="D7" s="3"/>
      <c r="E7" s="3" t="s">
        <v>129</v>
      </c>
      <c r="F7" s="3">
        <v>25</v>
      </c>
      <c r="G7" s="3"/>
      <c r="H7" s="3"/>
      <c r="I7" s="3" t="s">
        <v>130</v>
      </c>
      <c r="J7" s="3" t="s">
        <v>131</v>
      </c>
      <c r="K7" s="3"/>
      <c r="L7" s="3">
        <v>29.6</v>
      </c>
      <c r="M7" s="3">
        <v>3.3199999999999999E-4</v>
      </c>
      <c r="N7" s="3">
        <v>25.55</v>
      </c>
      <c r="O7" s="3"/>
      <c r="P7" s="3"/>
      <c r="Q7" s="3"/>
      <c r="R7" s="3">
        <v>1200</v>
      </c>
      <c r="S7" s="3">
        <v>4.33</v>
      </c>
      <c r="T7" s="3"/>
      <c r="U7" s="3"/>
      <c r="V7" s="3"/>
      <c r="W7" s="3"/>
      <c r="X7" s="3"/>
      <c r="Y7" s="3"/>
      <c r="Z7" s="3">
        <v>28.28</v>
      </c>
      <c r="AA7" s="3"/>
      <c r="AB7" s="3" t="s">
        <v>132</v>
      </c>
      <c r="AC7" s="3" t="s">
        <v>133</v>
      </c>
      <c r="AD7" s="3" t="s">
        <v>125</v>
      </c>
      <c r="AE7" s="3" t="s">
        <v>134</v>
      </c>
      <c r="AF7" s="3" t="s">
        <v>100</v>
      </c>
      <c r="AG7" s="3" t="s">
        <v>135</v>
      </c>
    </row>
    <row r="8" spans="1:35" ht="60" x14ac:dyDescent="0.25">
      <c r="A8" s="3" t="s">
        <v>136</v>
      </c>
      <c r="B8" s="3" t="s">
        <v>177</v>
      </c>
      <c r="C8" s="3" t="s">
        <v>137</v>
      </c>
      <c r="D8" s="3">
        <v>0.6</v>
      </c>
      <c r="E8" s="3" t="s">
        <v>138</v>
      </c>
      <c r="F8" s="3">
        <v>25</v>
      </c>
      <c r="G8" s="3">
        <v>200</v>
      </c>
      <c r="H8" s="3"/>
      <c r="I8" s="3" t="s">
        <v>139</v>
      </c>
      <c r="J8" s="3"/>
      <c r="K8" s="3">
        <v>15</v>
      </c>
      <c r="L8" s="3">
        <v>20</v>
      </c>
      <c r="M8" s="3">
        <v>5.0000000000000001E-4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140</v>
      </c>
      <c r="AC8" s="3" t="s">
        <v>141</v>
      </c>
      <c r="AD8" s="3" t="s">
        <v>125</v>
      </c>
      <c r="AE8" s="3" t="s">
        <v>99</v>
      </c>
      <c r="AF8" s="3" t="s">
        <v>100</v>
      </c>
      <c r="AG8" s="3" t="s">
        <v>142</v>
      </c>
    </row>
    <row r="9" spans="1:35" ht="60" x14ac:dyDescent="0.25">
      <c r="A9" s="3" t="s">
        <v>143</v>
      </c>
      <c r="B9" s="3" t="s">
        <v>177</v>
      </c>
      <c r="C9" s="3" t="s">
        <v>144</v>
      </c>
      <c r="D9" s="3">
        <v>0.9</v>
      </c>
      <c r="E9" s="3" t="s">
        <v>138</v>
      </c>
      <c r="F9" s="3">
        <v>25</v>
      </c>
      <c r="G9" s="3">
        <v>200</v>
      </c>
      <c r="H9" s="3"/>
      <c r="I9" s="3" t="s">
        <v>139</v>
      </c>
      <c r="J9" s="3"/>
      <c r="K9" s="3">
        <v>90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145</v>
      </c>
      <c r="AC9" s="3" t="s">
        <v>146</v>
      </c>
      <c r="AD9" s="3" t="s">
        <v>147</v>
      </c>
      <c r="AE9" s="3" t="s">
        <v>99</v>
      </c>
      <c r="AF9" s="3" t="s">
        <v>100</v>
      </c>
      <c r="AG9" s="3" t="s">
        <v>148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.42578125" customWidth="1"/>
    <col min="2" max="2" width="32" customWidth="1"/>
    <col min="3" max="15" width="46.5703125" customWidth="1"/>
  </cols>
  <sheetData>
    <row r="1" spans="1:15" x14ac:dyDescent="0.25">
      <c r="A1" s="3" t="s">
        <v>10</v>
      </c>
      <c r="B1" s="3" t="s">
        <v>150</v>
      </c>
      <c r="C1" s="3" t="s">
        <v>149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</row>
    <row r="2" spans="1:15" ht="60" x14ac:dyDescent="0.25">
      <c r="A2" s="3" t="str">
        <f>Papers!A2</f>
        <v>Manoharan_2015</v>
      </c>
      <c r="B2" s="3" t="s">
        <v>152</v>
      </c>
      <c r="C2" s="3" t="s">
        <v>151</v>
      </c>
    </row>
    <row r="3" spans="1:15" ht="63.95" customHeight="1" x14ac:dyDescent="0.25">
      <c r="A3" s="3" t="str">
        <f>Papers!A3</f>
        <v>Zhang_2019</v>
      </c>
      <c r="B3" s="3" t="s">
        <v>154</v>
      </c>
      <c r="C3" s="3" t="s">
        <v>153</v>
      </c>
    </row>
    <row r="4" spans="1:15" ht="63.95" customHeight="1" x14ac:dyDescent="0.25">
      <c r="A4" s="3" t="str">
        <f>Papers!A4</f>
        <v>Morales-Masis_2018</v>
      </c>
      <c r="B4" s="3" t="s">
        <v>156</v>
      </c>
      <c r="C4" s="3" t="s">
        <v>155</v>
      </c>
    </row>
    <row r="5" spans="1:15" ht="63.95" customHeight="1" x14ac:dyDescent="0.25">
      <c r="A5" s="3" t="str">
        <f>Papers!A5</f>
        <v>Han_2023</v>
      </c>
      <c r="B5" s="3" t="s">
        <v>158</v>
      </c>
      <c r="C5" s="3" t="s">
        <v>157</v>
      </c>
    </row>
    <row r="6" spans="1:15" ht="63.95" customHeight="1" x14ac:dyDescent="0.25">
      <c r="A6" s="3" t="str">
        <f>Papers!A6</f>
        <v>Micali_2024</v>
      </c>
      <c r="B6" s="3" t="s">
        <v>160</v>
      </c>
      <c r="C6" s="3" t="s">
        <v>159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D072-39AA-4884-97A2-162F15285C8E}">
  <dimension ref="B2:B6"/>
  <sheetViews>
    <sheetView workbookViewId="0">
      <selection activeCell="B10" sqref="B10"/>
    </sheetView>
  </sheetViews>
  <sheetFormatPr defaultRowHeight="15" x14ac:dyDescent="0.25"/>
  <cols>
    <col min="1" max="1" width="5.140625" customWidth="1"/>
  </cols>
  <sheetData>
    <row r="2" spans="2:2" ht="15.75" x14ac:dyDescent="0.25">
      <c r="B2" s="1" t="s">
        <v>1</v>
      </c>
    </row>
    <row r="3" spans="2:2" x14ac:dyDescent="0.25">
      <c r="B3" t="s">
        <v>3</v>
      </c>
    </row>
    <row r="4" spans="2:2" x14ac:dyDescent="0.25">
      <c r="B4" t="s">
        <v>5</v>
      </c>
    </row>
    <row r="5" spans="2:2" x14ac:dyDescent="0.25">
      <c r="B5" t="s">
        <v>7</v>
      </c>
    </row>
    <row r="6" spans="2:2" x14ac:dyDescent="0.25"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Main</vt:lpstr>
      <vt:lpstr>Papers</vt:lpstr>
      <vt:lpstr>Reported Data</vt:lpstr>
      <vt:lpstr>Notes</vt:lpstr>
      <vt:lpstr>how_to_use</vt:lpstr>
      <vt:lpstr>Notes!_FilterDatabase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Bonilla</cp:lastModifiedBy>
  <dcterms:created xsi:type="dcterms:W3CDTF">2026-08-06T20:53:25Z</dcterms:created>
  <dcterms:modified xsi:type="dcterms:W3CDTF">2026-08-07T05:44:11Z</dcterms:modified>
</cp:coreProperties>
</file>