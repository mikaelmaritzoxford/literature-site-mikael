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linc5977_ox_ac_uk/Documents/"/>
    </mc:Choice>
  </mc:AlternateContent>
  <xr:revisionPtr revIDLastSave="0" documentId="8_{6A1D69C0-A1AF-4983-87B5-058625F1F889}" xr6:coauthVersionLast="47" xr6:coauthVersionMax="47" xr10:uidLastSave="{00000000-0000-0000-0000-000000000000}"/>
  <bookViews>
    <workbookView xWindow="-120" yWindow="-120" windowWidth="29040" windowHeight="15720" xr2:uid="{9CC374EC-CA3F-4ED1-B16B-CF04F00C062D}"/>
  </bookViews>
  <sheets>
    <sheet name="Main" sheetId="1" r:id="rId1"/>
    <sheet name="Papers" sheetId="2" r:id="rId2"/>
    <sheet name="Reported Data" sheetId="3" r:id="rId3"/>
    <sheet name="Notes" sheetId="4" r:id="rId4"/>
    <sheet name="how_to_us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2" l="1"/>
  <c r="A5" i="2"/>
  <c r="A4" i="2"/>
  <c r="A3" i="2"/>
  <c r="A2" i="2"/>
</calcChain>
</file>

<file path=xl/sharedStrings.xml><?xml version="1.0" encoding="utf-8"?>
<sst xmlns="http://schemas.openxmlformats.org/spreadsheetml/2006/main" count="230" uniqueCount="225">
  <si>
    <t>Stage</t>
  </si>
  <si>
    <t>Worksheet / field</t>
  </si>
  <si>
    <t>What to do</t>
  </si>
  <si>
    <t>1. Define scope</t>
  </si>
  <si>
    <t>Project plan</t>
  </si>
  <si>
    <t>Write the scientific question, material/device scope, date range, publication types, databases, search strings, and inclusion/exclusion criteria before screening.</t>
  </si>
  <si>
    <t>2. Search and screen</t>
  </si>
  <si>
    <t>External search log</t>
  </si>
  <si>
    <t>Search reproducibly, deduplicate results, screen titles/abstracts, obtain full texts, and retain enough information to explain why a source was included or excluded.</t>
  </si>
  <si>
    <t>3. Create identifier</t>
  </si>
  <si>
    <t>Papers — Paper ID</t>
  </si>
  <si>
    <t>Create one stable unique ID per publication, normally FirstAuthor_Year. Use the exact same ID everywhere else in the workbook.</t>
  </si>
  <si>
    <t>4. Capture metadata</t>
  </si>
  <si>
    <t>Papers</t>
  </si>
  <si>
    <t>Add one row per publication. Record authors, journal, year, exact title, DOI, source URL, a concise abstract summary, controlled keywords, and review notes.</t>
  </si>
  <si>
    <t>5. Read critically</t>
  </si>
  <si>
    <t>Papers — summary/notes</t>
  </si>
  <si>
    <t>Read beyond the abstract. Distinguish reported results from author interpretation, note study limitations, and identify which samples or devices require separate extraction rows.</t>
  </si>
  <si>
    <t>6. Define observation</t>
  </si>
  <si>
    <t>Reported Data</t>
  </si>
  <si>
    <t>Add one row for each distinct sample, device, composition, processing condition, control, or measurement context. Do not place several materially different samples in one row.</t>
  </si>
  <si>
    <t>7. Link provenance</t>
  </si>
  <si>
    <t>Reported Data — IDs/source</t>
  </si>
  <si>
    <t>Copy the Paper ID exactly. Give every row a unique Observation ID and record the source figure/table, evidence type, confidence, and a short audit comment.</t>
  </si>
  <si>
    <t>8. Record processing</t>
  </si>
  <si>
    <t>Reported Data — processing columns</t>
  </si>
  <si>
    <t>Enter fabrication technique, dopant content, deposition and post-deposition temperatures, pressure, atmosphere, gas mix, and thickness when reported.</t>
  </si>
  <si>
    <t>9. Record measurements</t>
  </si>
  <si>
    <t>Reported Data — dedicated columns</t>
  </si>
  <si>
    <t>Put mobility, resistivity, sheet resistance, carrier concentration, optical constants, bandgap, energy levels, current density, fill factor, efficiency, and related quantities in their dedicated columns.</t>
  </si>
  <si>
    <t>10. Preserve units</t>
  </si>
  <si>
    <t>Reported Data — headers/values</t>
  </si>
  <si>
    <t>Enter numeric values as numbers and use the units stated in each header. If converting units, document the original value and conversion in Comments; never hide a conversion.</t>
  </si>
  <si>
    <t>11. Handle ranges</t>
  </si>
  <si>
    <t>Reported Data — measurement cells</t>
  </si>
  <si>
    <t>Use a consistent machine-readable convention for ranges or uncertainty and explain it in Comments. Do not mix a value, unit, condition, and interpretation in one numeric cell.</t>
  </si>
  <si>
    <t>12. Handle other properties</t>
  </si>
  <si>
    <t>Property name/value/unit</t>
  </si>
  <si>
    <t>Use the generic Property fields only for a reported quantity that has no dedicated column. If a property becomes common across papers, add a dedicated column instead.</t>
  </si>
  <si>
    <t>13. Handle missing data</t>
  </si>
  <si>
    <t>All data sheets</t>
  </si>
  <si>
    <t>Leave genuinely unreported values blank. Do not enter zero, 'N/A', or inferred values unless zero is explicitly reported or the inference is clearly labelled and justified.</t>
  </si>
  <si>
    <t>14. Extract insights</t>
  </si>
  <si>
    <t>Notes</t>
  </si>
  <si>
    <t>Record paper-level takeaways, mechanisms, contradictions, methodological caveats, trends, and knowledge gaps. Keep claims traceable to Paper IDs.</t>
  </si>
  <si>
    <t>15. Update synthesis</t>
  </si>
  <si>
    <t>Main</t>
  </si>
  <si>
    <t>Revise the narrative when accumulated evidence changes performance ranges, processing guidance, applications, limitations, gaps, or conclusions. Separate evidence-backed findings from future hypotheses.</t>
  </si>
  <si>
    <t>16. Update figures</t>
  </si>
  <si>
    <t>Main / figures</t>
  </si>
  <si>
    <t>Place a Figure N marker in Main where an interactive figure belongs and maintain the matching figures/figureN.py generator. Check labels, units, and source data.</t>
  </si>
  <si>
    <t>17. Quality control</t>
  </si>
  <si>
    <t>Papers / Reported Data</t>
  </si>
  <si>
    <t>Check unique IDs, exact Paper ID links, duplicate rows, numeric types, units, URLs, blank headers, impossible values, and whether each important claim has source provenance.</t>
  </si>
  <si>
    <t>18. Generate website</t>
  </si>
  <si>
    <t>PowerShell</t>
  </si>
  <si>
    <t>Activate the environment, then run: python build_site.py izro_literature.xlsx. This refreshes the homepage, CSV tables, and Plotly outputs under docs/.</t>
  </si>
  <si>
    <t>19. Preview website</t>
  </si>
  <si>
    <t>Run: mkdocs serve. Inspect Home, Papers, and Reported Data at http://127.0.0.1:8000; test sorting, filters, column selection, horizontal scrolling, and figures.</t>
  </si>
  <si>
    <t>20. Test</t>
  </si>
  <si>
    <t>Run: python -m unittest discover -s tests -v. Resolve generation, missing-file, or CSV-link failures before publishing.</t>
  </si>
  <si>
    <t>21. Publish</t>
  </si>
  <si>
    <t>Git / GitHub</t>
  </si>
  <si>
    <t>The workbook is local-only and ignored by Git. Commit the regenerated docs/ files plus code or narrative changes, push main, and let the provided GitHub Actions workflow build and publish the site.</t>
  </si>
  <si>
    <t>22. Handover</t>
  </si>
  <si>
    <t>Whole workbook</t>
  </si>
  <si>
    <t>Before another reviewer continues, record the search coverage and outstanding papers, explain any conventions, and ensure the workbook and generated website agree.</t>
  </si>
  <si>
    <t>Paper ID</t>
  </si>
  <si>
    <t>Tags</t>
  </si>
  <si>
    <t>Knowledge extracted</t>
  </si>
  <si>
    <t>Knldg2</t>
  </si>
  <si>
    <t>Knldg3</t>
  </si>
  <si>
    <t>Knldg4</t>
  </si>
  <si>
    <t>Knldg5</t>
  </si>
  <si>
    <t>Knldg6</t>
  </si>
  <si>
    <t>Knldg7</t>
  </si>
  <si>
    <t>Knldg8</t>
  </si>
  <si>
    <t>Knldg9</t>
  </si>
  <si>
    <t>Knldg10</t>
  </si>
  <si>
    <t>Knldg11</t>
  </si>
  <si>
    <t>Knldg12</t>
  </si>
  <si>
    <t>Knldg13</t>
  </si>
  <si>
    <t>Annealed films exhibit 3.9–4.0 eV optical gaps, widened by crystallization and the Burstein–Moss effect.</t>
  </si>
  <si>
    <t>An IO:Zr carrier-density gradient reduces contact resistance while preserving a lower-absorption bulk electrode.</t>
  </si>
  <si>
    <t>SHJ cells with IO:Zr achieved 23.4% efficiency and 40.2 mA/cm² current density.</t>
  </si>
  <si>
    <t>Observation ID</t>
  </si>
  <si>
    <t>Confidence</t>
  </si>
  <si>
    <t>Optical bandgap</t>
  </si>
  <si>
    <t>Oxygen vacancies</t>
  </si>
  <si>
    <t>Technology (TOPCon, SHJ, 2TT, 3TT, 4TT, etc)</t>
  </si>
  <si>
    <t>Irradiance model</t>
  </si>
  <si>
    <t>Electrical model</t>
  </si>
  <si>
    <t>Optical model</t>
  </si>
  <si>
    <t>Thermal model</t>
  </si>
  <si>
    <t>Measured module optics</t>
  </si>
  <si>
    <t>Measured module electrical</t>
  </si>
  <si>
    <t>Other module measurements</t>
  </si>
  <si>
    <t>Module composition</t>
  </si>
  <si>
    <t>Other module details</t>
  </si>
  <si>
    <t>Location</t>
  </si>
  <si>
    <t>Energy yield (or similar metric)</t>
  </si>
  <si>
    <t>Energy gain compared to SJ Si (if multijunction)</t>
  </si>
  <si>
    <t>Energy gain compared to monofacial (if bifacial)</t>
  </si>
  <si>
    <t>Energy gain compared to 2TT (if 3TT or 4TT)</t>
  </si>
  <si>
    <t>LCOE if calculated</t>
  </si>
  <si>
    <t>Other comparative metrics</t>
  </si>
  <si>
    <t>Diffuse light treatment</t>
  </si>
  <si>
    <t>Spectral treatment</t>
  </si>
  <si>
    <t>Additional simplifying assumptions</t>
  </si>
  <si>
    <t>Other notes</t>
  </si>
  <si>
    <t>Source</t>
  </si>
  <si>
    <t xml:space="preserve">Bandgap </t>
  </si>
  <si>
    <t>Albedo</t>
  </si>
  <si>
    <t>First author</t>
  </si>
  <si>
    <t>Last author</t>
  </si>
  <si>
    <t>Journal</t>
  </si>
  <si>
    <t>Year</t>
  </si>
  <si>
    <t>Title</t>
  </si>
  <si>
    <t>DOI</t>
  </si>
  <si>
    <t>Source URL</t>
  </si>
  <si>
    <t>Abstract summary</t>
  </si>
  <si>
    <t>Keywords</t>
  </si>
  <si>
    <t>C. Manoharan</t>
  </si>
  <si>
    <t>S. Dhanapandian</t>
  </si>
  <si>
    <t>Spectrochimica Acta Part A: Molecular and Biomolecular Spectroscopy</t>
  </si>
  <si>
    <t>Structural, optical and electrical properties of Zr-doped In2O3 thin films</t>
  </si>
  <si>
    <t>10.1016/j.saa.2015.02.099</t>
  </si>
  <si>
    <t>https://pubmed.ncbi.nlm.nih.gov/25766478/</t>
  </si>
  <si>
    <t>Spray-pyrolyzed Zr-doped In2O3 films on glass (450 C, 0-11 at.% Zr) retained cubic structure; the abstract reports grain size decreasing from 25 to 15.75 nm, optical band gap decreasing from 3.50 to 3.0 eV, and a best resistivity of 6.4e-4 ohm·cm with carrier concentration 2.5e20 cm^-3 at 7 at.% Zr.</t>
  </si>
  <si>
    <t>spray pyrolysis; optical bandgap; resistivity; carrier concentration</t>
  </si>
  <si>
    <t>Jingying Zhang</t>
  </si>
  <si>
    <t>Junbiao Peng</t>
  </si>
  <si>
    <t>Coatings</t>
  </si>
  <si>
    <t>The Effect of Zirconium Doping on Solution-Processed Indium Oxide Thin Films Measured by a Novel Nondestructive Testing Method (Microwave Photoconductivity Decay)</t>
  </si>
  <si>
    <t>10.3390/coatings9070426</t>
  </si>
  <si>
    <t>https://www.mdpi.com/2079-6412/9/7/426</t>
  </si>
  <si>
    <t>Solution-processed InxZryO thin films with Zr:In = 0, 5, 10, and 15 at.% were studied with post-anneals from 250 to 400 C. Zr doping improved crystallinity and density; the conclusions report a minimum oxygen vacancy fraction of 26.09% at 10 at.% Zr after annealing at 400 C.</t>
  </si>
  <si>
    <t>solution processing; Zr concentration; oxygen vacancies; mu-PCD</t>
  </si>
  <si>
    <t>Monica Morales-Masis</t>
  </si>
  <si>
    <t>Christophe Ballif</t>
  </si>
  <si>
    <t>IEEE Journal of Photovoltaics</t>
  </si>
  <si>
    <t>Highly Conductive and Broadband Transparent Zr-Doped In2O3 as Front Electrode for Solar Cells</t>
  </si>
  <si>
    <t>10.1109/JPHOTOV.2018.2851306</t>
  </si>
  <si>
    <t>https://doi.org/10.1109/JPHOTOV.2018.2851306</t>
  </si>
  <si>
    <t>Room-temperature RF-sputtered IO:Zr combines a 3.5–4.0 eV optical gap with Hall mobility near 100 cm^2/Vs and carrier density around 2.5–3e20 cm^-3. As a silicon-heterojunction front electrode it enabled 40.2 mA/cm^2 current density and 23.4% efficiency.</t>
  </si>
  <si>
    <t>IO:Zr; RF sputtering; Hall mobility; carrier concentration; broadband transparency; silicon heterojunction; front electrode</t>
  </si>
  <si>
    <t>Enriched from the local paper Markdown and digitized Figure 1 and Figure 2 CSV data.</t>
  </si>
  <si>
    <t>Wei Han</t>
  </si>
  <si>
    <t>Xiaodan Zhang</t>
  </si>
  <si>
    <t>Progress in Photovoltaics: Research and Applications</t>
  </si>
  <si>
    <t>Highly conductive and broadband transparent Zr-doped In2O3 as the front electrode for monolithic perovskite/silicon tandem solar cells</t>
  </si>
  <si>
    <t>10.1002/pip.3708</t>
  </si>
  <si>
    <t>https://onlinelibrary.wiley.com/doi/10.1002/pip.3708</t>
  </si>
  <si>
    <t>Room-temperature sputtered IZrO showed mobility of 29.6 cm^2/Vs, resistivity of 3.32e-4 ohm·cm, sheet resistance of 25.55 ohm/sq, average transmittance of 81.55% from 400-1200 nm, work function of 4.33 eV, and champion tandem efficiency of 28.28%.</t>
  </si>
  <si>
    <t>work function; broadband transparency; tandem solar cell; sputtering</t>
  </si>
  <si>
    <t>Melanie Micali</t>
  </si>
  <si>
    <t>Antonio Terrasi</t>
  </si>
  <si>
    <t>Solar Energy Materials and Solar Cells</t>
  </si>
  <si>
    <t>Zirconium doped indium oxide thin films as transparent electrodes for photovoltaic applications</t>
  </si>
  <si>
    <t>10.1016/j.solmat.2024.112875</t>
  </si>
  <si>
    <t>https://amolf.nl/publications/zirconium-doped-indium-oxide-thin-films-as-transparent-electrodes-for-photovoltaic-applications</t>
  </si>
  <si>
    <t>Ultra-thin IZrO films grown at room temperature by RF co-sputtering (15-90 nm, 0.6-0.9 at.% Zr) and annealed at 200 C became more crystalline; the thinnest film reached resistivity of 5e-4 ohm·cm, mobility of 20 cm^2/Vs, and transmittance up to 80%, while 90 nm films gave EQE comparable to standard ITO.</t>
  </si>
  <si>
    <t>RF co-sputtering; ultra-thin films; EQE; photovoltaic</t>
  </si>
  <si>
    <t>Zirconium-Doped Indium Oxide (IZrO)</t>
  </si>
  <si>
    <t>Overview</t>
  </si>
  <si>
    <t>Material motivation</t>
  </si>
  <si>
    <t>Zirconium-doped indium oxide (IZrO) is a transparent conducting oxide developed as an alternative to indium tin oxide.</t>
  </si>
  <si>
    <t>Zirconium acts as a non-reducing dopant that enables high carrier mobility while suppressing ionized impurity scattering.</t>
  </si>
  <si>
    <t>Typical applications</t>
  </si>
  <si>
    <t>The material is mainly investigated for transparent electrodes in silicon and perovskite solar cells, flat-panel displays, touch panels, and other optoelectronic devices requiring high transparency together with low electrical resistance.</t>
  </si>
  <si>
    <t>Key performance metrics</t>
  </si>
  <si>
    <t>The literature consistently evaluates IZrO using carrier mobility, carrier concentration, resistivity, sheet resistance, optical transmission, optical bandgap, work function, and compatibility with photovoltaic devices.</t>
  </si>
  <si>
    <t>Electrical Properties</t>
  </si>
  <si>
    <t>Carrier mobility</t>
  </si>
  <si>
    <t>Carrier mobility reported in the literature spans approximately 20–100 cm² V⁻¹ s⁻¹ depending on deposition technique and optimisation. RF sputtered films generally exhibit the highest mobility after careful optimisation of zirconium concentration and thermal processing.</t>
  </si>
  <si>
    <t>Resistivity</t>
  </si>
  <si>
    <t>Reported resistivities typically range from approximately 3×10⁻⁴ to 5×10⁻⁴ Ω·cm in highly optimised films. These values approach those obtained with conventional ITO while maintaining excellent optical transparency.</t>
  </si>
  <si>
    <t>Sheet resistance</t>
  </si>
  <si>
    <t>Reported sheet resistance commonly falls between 20 and 30 Ω/sq for films intended as transparent electrodes. Lower sheet resistance is generally achieved through improved crystallinity and increased carrier mobility rather than excessive carrier concentration.</t>
  </si>
  <si>
    <t>Carrier concentration</t>
  </si>
  <si>
    <t>Carrier concentrations generally lie near 10²⁰ cm⁻³. Unlike heavily doped ITO, performance improvements in IZrO are often associated with mobility enhancement rather than continuously increasing free carrier density.</t>
  </si>
  <si>
    <t>Figure 1</t>
  </si>
  <si>
    <t>Optical Properties</t>
  </si>
  <si>
    <t>Optical transparency</t>
  </si>
  <si>
    <t>Most studies report average visible transmission above 80%. High transparency is maintained even at conductivities suitable for photovoltaic electrodes, making IZrO attractive for tandem and silicon solar cells.</t>
  </si>
  <si>
    <t>Reported optical bandgaps typically lie between 3.5 and 3.9 eV. Changes in zirconium concentration and oxygen vacancy concentration can slightly modify the apparent bandgap through Burstein–Moss effects.</t>
  </si>
  <si>
    <t>Optical constants</t>
  </si>
  <si>
    <t>Only a limited number of studies report complete optical constants (n and k). Most publications instead provide transmission spectra, requiring subsequent fitting before refractive index dispersion can be compared quantitatively.</t>
  </si>
  <si>
    <t>Electronic Structure</t>
  </si>
  <si>
    <t>Work function</t>
  </si>
  <si>
    <t>Optimised sputtered IZrO electrodes exhibit work functions around 4.3 eV. This value provides favourable alignment with several electron-selective contacts used in silicon and perovskite photovoltaic devices.</t>
  </si>
  <si>
    <t>Several studies identify oxygen vacancies as a dominant factor controlling electrical conductivity. Zirconium modifies vacancy formation and influences the balance between conductivity and optical transparency.</t>
  </si>
  <si>
    <t>Electronic band alignment</t>
  </si>
  <si>
    <t>Very few publications directly measure electron affinity or valence band position. Most electronic structure discussions rely on UPS or XPS measurements combined with optical bandgap determination.</t>
  </si>
  <si>
    <t>Processing</t>
  </si>
  <si>
    <t>Deposition methods</t>
  </si>
  <si>
    <t>Reported fabrication routes include RF sputtering, RF co-sputtering, spray pyrolysis, and solution processing. RF sputtering currently produces the highest-performing electrodes, while solution processing offers lower manufacturing cost.</t>
  </si>
  <si>
    <t>Zirconium concentration</t>
  </si>
  <si>
    <t>Most studies investigate zirconium concentrations between approximately 2 and 10 at.%. Electrical performance usually exhibits a well-defined optimum, with excessive zirconium reducing conductivity through decreased carrier density.</t>
  </si>
  <si>
    <t>Thermal treatment</t>
  </si>
  <si>
    <t>Post-deposition annealing between approximately 300°C and 500°C is frequently employed to improve crystallinity, activate dopants, and reduce resistivity. Processing temperature strongly influences both mobility and transparency.</t>
  </si>
  <si>
    <t>Process atmosphere</t>
  </si>
  <si>
    <t>Oxygen partial pressure during deposition and annealing strongly influences oxygen vacancy concentration. Careful control of oxygen availability is therefore essential for reproducible electrical performance.</t>
  </si>
  <si>
    <t>Figure 2</t>
  </si>
  <si>
    <t>Solar Cell Applications</t>
  </si>
  <si>
    <t>Silicon photovoltaics</t>
  </si>
  <si>
    <t>Several recent studies demonstrate IZrO as a front transparent electrode for silicon heterojunction solar cells, achieving efficiencies exceeding 28% while maintaining excellent optical transmission.</t>
  </si>
  <si>
    <t>Tandem photovoltaics</t>
  </si>
  <si>
    <t>IZrO is increasingly investigated for tandem solar cells because its combination of low absorption and high conductivity reduces optical losses compared with conventional transparent conducting oxides.</t>
  </si>
  <si>
    <t>Comparison with ITO</t>
  </si>
  <si>
    <t>Most publications position IZrO as an alternative rather than a replacement for ITO. Its principal advantage lies in achieving comparable conductivity with higher mobility and potentially reduced free-carrier absorption.</t>
  </si>
  <si>
    <t>Literature Trends</t>
  </si>
  <si>
    <t>Evolution of research</t>
  </si>
  <si>
    <t>Early publications focused primarily on demonstrating conductivity improvements through zirconium doping. More recent work has shifted toward device integration and optimisation for high-efficiency silicon and tandem photovoltaics.</t>
  </si>
  <si>
    <t>Knowledge gaps</t>
  </si>
  <si>
    <t>Few studies report complete electronic structure information such as electron affinity, valence band maximum, or refractive index dispersion. Standardised reporting of these quantities would greatly improve comparison across publications.</t>
  </si>
  <si>
    <t>Experimental consistency</t>
  </si>
  <si>
    <t>Reporting standards vary considerably between studies. Deposition pressure, gas composition, substrate temperature, and annealing conditions are frequently omitted, making direct comparison difficult.</t>
  </si>
  <si>
    <t>Overall Conclusions</t>
  </si>
  <si>
    <t>Main findings</t>
  </si>
  <si>
    <t>Across multiple fabrication methods, zirconium doping consistently produces transparent conducting oxide films with high mobility, low resistivity, and excellent optical transparency suitable for advanced photovoltaic applications.</t>
  </si>
  <si>
    <t>Current limitations</t>
  </si>
  <si>
    <t>Performance remains highly sensitive to processing conditions, oxygen stoichiometry, and dopant concentration. Reproducibility between laboratories is therefore still challenging.</t>
  </si>
  <si>
    <t>Future opportunities</t>
  </si>
  <si>
    <t>Future literature would benefit from systematically reporting electronic band alignment, optical constants, deposition parameters, and complete transport properties using consistent experimental protocols.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</si>
</sst>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</font>
    <font>
      <sz val="11"/>
      <color rgb="FF0563C1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/>
    <xf numFmtId="0" fontId="0" fillId="3" borderId="3" xfId="0" applyFill="1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u val="none"/>
        <sz val="11"/>
        <color rgb="FF0563C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52FB0-F78D-425C-A98F-B824BC5A1EE3}" name="Table25" displayName="Table25" ref="A1:K6" totalsRowShown="0">
  <autoFilter ref="A1:K6" xr:uid="{54C52FB0-F78D-425C-A98F-B824BC5A1EE3}"/>
  <tableColumns count="11">
    <tableColumn id="1" xr3:uid="{72F2343D-150F-4D18-A828-9858569726DB}" name="Paper ID">
      <calculatedColumnFormula>_xlfn.CONCAT(_xlfn.TEXTAFTER(TRIM(B2)," "),"_",E2)</calculatedColumnFormula>
    </tableColumn>
    <tableColumn id="2" xr3:uid="{8A5EB7B9-30FA-4020-8CBE-F1DEB7A7D481}" name="First author"/>
    <tableColumn id="3" xr3:uid="{4E82ECF9-5BFB-4829-A161-AC0E83B5D7FB}" name="Last author"/>
    <tableColumn id="4" xr3:uid="{B7EE4630-6BF6-4545-86CA-2F0187D497E7}" name="Journal"/>
    <tableColumn id="5" xr3:uid="{909E8608-47B2-45D0-9B65-A7123FE46A27}" name="Year"/>
    <tableColumn id="6" xr3:uid="{7382AD3B-F1F2-47A1-A78E-0B8CD25C3051}" name="Title"/>
    <tableColumn id="7" xr3:uid="{94492AB4-C7F6-42C1-871C-B40E01EBB3C2}" name="DOI"/>
    <tableColumn id="8" xr3:uid="{7BF681AD-C2EC-4A7C-BE54-53DC4ABCBA4A}" name="Source URL" dataDxfId="0"/>
    <tableColumn id="9" xr3:uid="{48CA3F08-B9D9-4B6A-94DD-FFA01724ADB1}" name="Abstract summary"/>
    <tableColumn id="10" xr3:uid="{7EF2E27E-B164-46DF-9FC3-96D61928F0D0}" name="Keywords"/>
    <tableColumn id="11" xr3:uid="{4C205A89-DA29-4FF3-9A79-51E9D13A99F0}" name="Note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D1695-FA79-4981-9683-80B8813BD449}" name="Table33" displayName="Table33" ref="A1:AA23" totalsRowShown="0">
  <tableColumns count="27">
    <tableColumn id="1" xr3:uid="{6CE4FD37-C6DC-4561-B6B1-BA57C6F806C6}" name="Observation ID"/>
    <tableColumn id="2" xr3:uid="{EFC4E5FB-7783-4C7C-9B23-21C553818042}" name="Paper ID"/>
    <tableColumn id="3" xr3:uid="{3D7F8987-922B-4219-952F-1400C1367EA6}" name="Technology (TOPCon, SHJ, 2TT, 3TT, 4TT, etc)"/>
    <tableColumn id="4" xr3:uid="{02D88EC4-91BD-414F-AC4C-7392CCAA2DB0}" name="Irradiance model"/>
    <tableColumn id="36" xr3:uid="{AA34EB5A-C881-4F8D-91EC-3110ACB27CA8}" name="Spectral treatment"/>
    <tableColumn id="37" xr3:uid="{B05B1C1F-2E90-40FD-8636-2ACF316C380A}" name="Diffuse light treatment"/>
    <tableColumn id="39" xr3:uid="{FA7EDEEC-988C-4ECA-8470-C4D5C2FFD01F}" name="Albedo"/>
    <tableColumn id="5" xr3:uid="{E8FDC0BC-19AE-4690-A8B1-E7AD763DC351}" name="Electrical model"/>
    <tableColumn id="6" xr3:uid="{5F3593C6-1FE7-49BA-B735-BD32F159423E}" name="Optical model"/>
    <tableColumn id="7" xr3:uid="{98B16470-513C-48B7-8E7C-4C7608FDD141}" name="Thermal model"/>
    <tableColumn id="8" xr3:uid="{A33241F9-BB08-4CE1-9B6F-087B39B24627}" name="Measured module optics"/>
    <tableColumn id="38" xr3:uid="{EBAECEA5-3880-4A77-B65E-CC5B6495046F}" name="Bandgap "/>
    <tableColumn id="9" xr3:uid="{6EFCDF41-466E-4029-8CAD-AD6A9EE2D2A0}" name="Measured module electrical"/>
    <tableColumn id="10" xr3:uid="{D3310F53-1A8A-4CE8-AE2E-EC7B5860745E}" name="Other module measurements"/>
    <tableColumn id="11" xr3:uid="{38173FB3-8E68-4344-A45A-C1582F2A66E9}" name="Module composition"/>
    <tableColumn id="12" xr3:uid="{099A2B6E-30DC-4770-A325-07FB5802F3C9}" name="Other module details"/>
    <tableColumn id="13" xr3:uid="{6311E284-E1B0-4A3C-BE52-FFACD4D59993}" name="Location"/>
    <tableColumn id="14" xr3:uid="{F7F0B610-A78E-404E-9632-E0ABB0BDAFC6}" name="Energy yield (or similar metric)"/>
    <tableColumn id="15" xr3:uid="{552ED8BA-DC68-492E-B528-A2C90BDCF632}" name="Energy gain compared to SJ Si (if multijunction)"/>
    <tableColumn id="16" xr3:uid="{CBEAB015-8DEF-4521-A781-FE3AD8E610A1}" name="Energy gain compared to monofacial (if bifacial)"/>
    <tableColumn id="17" xr3:uid="{F19497E8-6CAD-4FC6-8F34-2831444114AC}" name="Energy gain compared to 2TT (if 3TT or 4TT)"/>
    <tableColumn id="18" xr3:uid="{03ED3DB7-9A4D-478F-BE1C-B0ABE5808311}" name="LCOE if calculated"/>
    <tableColumn id="19" xr3:uid="{2431215D-A405-4A76-95F5-7117F63C467D}" name="Other comparative metrics"/>
    <tableColumn id="20" xr3:uid="{A17F6C17-9F6B-408F-82AF-0E4E4F4D8A82}" name="Additional simplifying assumptions"/>
    <tableColumn id="21" xr3:uid="{B2D76673-784A-45FB-BA16-C056190FB72C}" name="Other notes"/>
    <tableColumn id="22" xr3:uid="{E16B07D8-0A34-4ADA-976D-BF73D25C45B6}" name="Source"/>
    <tableColumn id="23" xr3:uid="{46E77CF7-579E-48EB-9CE2-25046DE667D8}" name="Confidenc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earch.utwente.nl/en/publications/highly-conductive-and-broadband-transparent-zrdoped-in2o3-as-front-electrode-for-solar-cells%286108e8ab-8e48-4486-8679-e45552efa3fb%29.html" TargetMode="External"/><Relationship Id="rId2" Type="http://schemas.openxmlformats.org/officeDocument/2006/relationships/hyperlink" Target="https://www.mdpi.com/2079-6412/9/7/426" TargetMode="External"/><Relationship Id="rId1" Type="http://schemas.openxmlformats.org/officeDocument/2006/relationships/hyperlink" Target="https://pubmed.ncbi.nlm.nih.gov/25766478/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amolf.nl/publications/zirconium-doped-indium-oxide-thin-films-as-transparent-electrodes-for-photovoltaic-applications" TargetMode="External"/><Relationship Id="rId4" Type="http://schemas.openxmlformats.org/officeDocument/2006/relationships/hyperlink" Target="https://onlinelibrary.wiley.com/doi/10.1002/pip.370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6017-26E3-4A04-94D0-2DE6045171CA}">
  <dimension ref="A1:F43"/>
  <sheetViews>
    <sheetView tabSelected="1" workbookViewId="0">
      <selection sqref="A1:XFD1048576"/>
    </sheetView>
  </sheetViews>
  <sheetFormatPr defaultRowHeight="15" x14ac:dyDescent="0.25"/>
  <cols>
    <col min="1" max="1" width="27.28515625" style="18" customWidth="1"/>
    <col min="2" max="2" width="106.140625" style="1" customWidth="1"/>
    <col min="3" max="3" width="12" customWidth="1"/>
    <col min="4" max="4" width="11.28515625" customWidth="1"/>
    <col min="5" max="5" width="18.5703125" customWidth="1"/>
    <col min="6" max="6" width="11.28515625" customWidth="1"/>
    <col min="7" max="11" width="8.7109375" customWidth="1"/>
  </cols>
  <sheetData>
    <row r="1" spans="1:6" x14ac:dyDescent="0.25">
      <c r="A1" s="18" t="s">
        <v>163</v>
      </c>
      <c r="E1" s="18"/>
    </row>
    <row r="2" spans="1:6" x14ac:dyDescent="0.25">
      <c r="A2" s="18" t="s">
        <v>164</v>
      </c>
      <c r="E2" s="18"/>
    </row>
    <row r="3" spans="1:6" ht="30" x14ac:dyDescent="0.25">
      <c r="A3" s="19" t="s">
        <v>165</v>
      </c>
      <c r="B3" s="1" t="s">
        <v>166</v>
      </c>
      <c r="E3" s="18"/>
    </row>
    <row r="4" spans="1:6" ht="30" x14ac:dyDescent="0.25">
      <c r="A4" s="19"/>
      <c r="B4" s="1" t="s">
        <v>167</v>
      </c>
      <c r="E4" s="18"/>
    </row>
    <row r="5" spans="1:6" ht="45" x14ac:dyDescent="0.25">
      <c r="A5" s="19" t="s">
        <v>168</v>
      </c>
      <c r="B5" s="1" t="s">
        <v>169</v>
      </c>
      <c r="E5" s="18"/>
      <c r="F5" s="20"/>
    </row>
    <row r="6" spans="1:6" ht="30" x14ac:dyDescent="0.25">
      <c r="A6" s="19" t="s">
        <v>170</v>
      </c>
      <c r="B6" s="1" t="s">
        <v>171</v>
      </c>
    </row>
    <row r="8" spans="1:6" x14ac:dyDescent="0.25">
      <c r="A8" s="18" t="s">
        <v>172</v>
      </c>
    </row>
    <row r="9" spans="1:6" ht="45" x14ac:dyDescent="0.25">
      <c r="A9" s="19" t="s">
        <v>173</v>
      </c>
      <c r="B9" s="1" t="s">
        <v>174</v>
      </c>
      <c r="D9" s="1"/>
    </row>
    <row r="10" spans="1:6" ht="30" x14ac:dyDescent="0.25">
      <c r="A10" s="19" t="s">
        <v>175</v>
      </c>
      <c r="B10" s="1" t="s">
        <v>176</v>
      </c>
    </row>
    <row r="11" spans="1:6" ht="45" x14ac:dyDescent="0.25">
      <c r="A11" s="19" t="s">
        <v>177</v>
      </c>
      <c r="B11" s="1" t="s">
        <v>178</v>
      </c>
    </row>
    <row r="12" spans="1:6" ht="30" x14ac:dyDescent="0.25">
      <c r="A12" s="19" t="s">
        <v>179</v>
      </c>
      <c r="B12" s="1" t="s">
        <v>180</v>
      </c>
      <c r="C12" t="s">
        <v>181</v>
      </c>
    </row>
    <row r="14" spans="1:6" x14ac:dyDescent="0.25">
      <c r="A14" s="18" t="s">
        <v>182</v>
      </c>
    </row>
    <row r="15" spans="1:6" ht="30" x14ac:dyDescent="0.25">
      <c r="A15" s="19" t="s">
        <v>183</v>
      </c>
      <c r="B15" s="1" t="s">
        <v>184</v>
      </c>
    </row>
    <row r="16" spans="1:6" ht="30" x14ac:dyDescent="0.25">
      <c r="A16" s="19" t="s">
        <v>87</v>
      </c>
      <c r="B16" s="1" t="s">
        <v>185</v>
      </c>
    </row>
    <row r="17" spans="1:3" ht="45" x14ac:dyDescent="0.25">
      <c r="A17" s="19" t="s">
        <v>186</v>
      </c>
      <c r="B17" s="1" t="s">
        <v>187</v>
      </c>
    </row>
    <row r="19" spans="1:3" x14ac:dyDescent="0.25">
      <c r="A19" s="18" t="s">
        <v>188</v>
      </c>
    </row>
    <row r="20" spans="1:3" ht="30" x14ac:dyDescent="0.25">
      <c r="A20" s="19" t="s">
        <v>189</v>
      </c>
      <c r="B20" s="1" t="s">
        <v>190</v>
      </c>
    </row>
    <row r="21" spans="1:3" ht="30" x14ac:dyDescent="0.25">
      <c r="A21" s="19" t="s">
        <v>88</v>
      </c>
      <c r="B21" s="1" t="s">
        <v>191</v>
      </c>
    </row>
    <row r="22" spans="1:3" ht="30" x14ac:dyDescent="0.25">
      <c r="A22" s="19" t="s">
        <v>192</v>
      </c>
      <c r="B22" s="1" t="s">
        <v>193</v>
      </c>
    </row>
    <row r="24" spans="1:3" x14ac:dyDescent="0.25">
      <c r="A24" s="18" t="s">
        <v>194</v>
      </c>
    </row>
    <row r="25" spans="1:3" ht="45" x14ac:dyDescent="0.25">
      <c r="A25" t="s">
        <v>195</v>
      </c>
      <c r="B25" s="1" t="s">
        <v>196</v>
      </c>
    </row>
    <row r="26" spans="1:3" ht="45" x14ac:dyDescent="0.25">
      <c r="A26" t="s">
        <v>197</v>
      </c>
      <c r="B26" s="1" t="s">
        <v>198</v>
      </c>
    </row>
    <row r="27" spans="1:3" ht="30" x14ac:dyDescent="0.25">
      <c r="A27" t="s">
        <v>199</v>
      </c>
      <c r="B27" s="1" t="s">
        <v>200</v>
      </c>
    </row>
    <row r="28" spans="1:3" ht="30" x14ac:dyDescent="0.25">
      <c r="A28" t="s">
        <v>201</v>
      </c>
      <c r="B28" s="1" t="s">
        <v>202</v>
      </c>
      <c r="C28" t="s">
        <v>203</v>
      </c>
    </row>
    <row r="29" spans="1:3" x14ac:dyDescent="0.25">
      <c r="A29"/>
    </row>
    <row r="30" spans="1:3" x14ac:dyDescent="0.25">
      <c r="A30" s="18" t="s">
        <v>204</v>
      </c>
    </row>
    <row r="31" spans="1:3" ht="30" x14ac:dyDescent="0.25">
      <c r="A31" t="s">
        <v>205</v>
      </c>
      <c r="B31" s="1" t="s">
        <v>206</v>
      </c>
    </row>
    <row r="32" spans="1:3" ht="30" x14ac:dyDescent="0.25">
      <c r="A32" t="s">
        <v>207</v>
      </c>
      <c r="B32" s="1" t="s">
        <v>208</v>
      </c>
    </row>
    <row r="33" spans="1:2" ht="30" x14ac:dyDescent="0.25">
      <c r="A33" t="s">
        <v>209</v>
      </c>
      <c r="B33" s="1" t="s">
        <v>210</v>
      </c>
    </row>
    <row r="35" spans="1:2" x14ac:dyDescent="0.25">
      <c r="A35" s="18" t="s">
        <v>211</v>
      </c>
    </row>
    <row r="36" spans="1:2" ht="45" x14ac:dyDescent="0.25">
      <c r="A36" t="s">
        <v>212</v>
      </c>
      <c r="B36" s="1" t="s">
        <v>213</v>
      </c>
    </row>
    <row r="37" spans="1:2" ht="45" x14ac:dyDescent="0.25">
      <c r="A37" t="s">
        <v>214</v>
      </c>
      <c r="B37" s="1" t="s">
        <v>215</v>
      </c>
    </row>
    <row r="38" spans="1:2" ht="30" x14ac:dyDescent="0.25">
      <c r="A38" t="s">
        <v>216</v>
      </c>
      <c r="B38" s="1" t="s">
        <v>217</v>
      </c>
    </row>
    <row r="40" spans="1:2" x14ac:dyDescent="0.25">
      <c r="A40" s="18" t="s">
        <v>218</v>
      </c>
    </row>
    <row r="41" spans="1:2" ht="45" x14ac:dyDescent="0.25">
      <c r="A41" t="s">
        <v>219</v>
      </c>
      <c r="B41" s="1" t="s">
        <v>220</v>
      </c>
    </row>
    <row r="42" spans="1:2" ht="30" x14ac:dyDescent="0.25">
      <c r="A42" t="s">
        <v>221</v>
      </c>
      <c r="B42" s="1" t="s">
        <v>222</v>
      </c>
    </row>
    <row r="43" spans="1:2" ht="30" x14ac:dyDescent="0.25">
      <c r="A43" t="s">
        <v>223</v>
      </c>
      <c r="B43" s="1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B56ED-1DD0-4C20-9FD1-49CA35A428D5}">
  <dimension ref="A1:K6"/>
  <sheetViews>
    <sheetView workbookViewId="0">
      <selection sqref="A1:K6"/>
    </sheetView>
  </sheetViews>
  <sheetFormatPr defaultRowHeight="15" x14ac:dyDescent="0.25"/>
  <cols>
    <col min="1" max="1" width="22" customWidth="1"/>
    <col min="2" max="3" width="18" customWidth="1"/>
    <col min="4" max="4" width="28" customWidth="1"/>
    <col min="5" max="5" width="11" customWidth="1"/>
    <col min="6" max="6" width="58" customWidth="1"/>
    <col min="7" max="7" width="18" customWidth="1"/>
    <col min="8" max="8" width="42" customWidth="1"/>
    <col min="9" max="9" width="78" customWidth="1"/>
    <col min="10" max="10" width="28" customWidth="1"/>
    <col min="11" max="11" width="18" customWidth="1"/>
  </cols>
  <sheetData>
    <row r="1" spans="1:11" x14ac:dyDescent="0.25">
      <c r="A1" s="14" t="s">
        <v>67</v>
      </c>
      <c r="B1" s="14" t="s">
        <v>113</v>
      </c>
      <c r="C1" s="14" t="s">
        <v>114</v>
      </c>
      <c r="D1" s="14" t="s">
        <v>115</v>
      </c>
      <c r="E1" s="14" t="s">
        <v>116</v>
      </c>
      <c r="F1" s="14" t="s">
        <v>117</v>
      </c>
      <c r="G1" s="14" t="s">
        <v>118</v>
      </c>
      <c r="H1" s="17" t="s">
        <v>119</v>
      </c>
      <c r="I1" s="14" t="s">
        <v>120</v>
      </c>
      <c r="J1" s="14" t="s">
        <v>121</v>
      </c>
      <c r="K1" s="14" t="s">
        <v>43</v>
      </c>
    </row>
    <row r="2" spans="1:11" ht="60" x14ac:dyDescent="0.25">
      <c r="A2" s="14" t="str">
        <f>_xlfn.CONCAT(_xlfn.TEXTAFTER(TRIM(B2)," "),"_",E2)</f>
        <v>Manoharan_2015</v>
      </c>
      <c r="B2" s="14" t="s">
        <v>122</v>
      </c>
      <c r="C2" s="14" t="s">
        <v>123</v>
      </c>
      <c r="D2" s="14" t="s">
        <v>124</v>
      </c>
      <c r="E2" s="14">
        <v>2015</v>
      </c>
      <c r="F2" s="14" t="s">
        <v>125</v>
      </c>
      <c r="G2" s="14" t="s">
        <v>126</v>
      </c>
      <c r="H2" s="17" t="s">
        <v>127</v>
      </c>
      <c r="I2" s="14" t="s">
        <v>128</v>
      </c>
      <c r="J2" s="14" t="s">
        <v>129</v>
      </c>
      <c r="K2" s="14"/>
    </row>
    <row r="3" spans="1:11" ht="60" x14ac:dyDescent="0.25">
      <c r="A3" s="14" t="str">
        <f t="shared" ref="A3:A6" si="0">_xlfn.CONCAT(_xlfn.TEXTAFTER(TRIM(B3)," "),"_",E3)</f>
        <v>Zhang_2019</v>
      </c>
      <c r="B3" s="14" t="s">
        <v>130</v>
      </c>
      <c r="C3" s="14" t="s">
        <v>131</v>
      </c>
      <c r="D3" s="14" t="s">
        <v>132</v>
      </c>
      <c r="E3" s="14">
        <v>2019</v>
      </c>
      <c r="F3" s="14" t="s">
        <v>133</v>
      </c>
      <c r="G3" s="14" t="s">
        <v>134</v>
      </c>
      <c r="H3" s="17" t="s">
        <v>135</v>
      </c>
      <c r="I3" s="14" t="s">
        <v>136</v>
      </c>
      <c r="J3" s="14" t="s">
        <v>137</v>
      </c>
      <c r="K3" s="14"/>
    </row>
    <row r="4" spans="1:11" ht="90" x14ac:dyDescent="0.25">
      <c r="A4" s="14" t="str">
        <f t="shared" si="0"/>
        <v>Morales-Masis_2018</v>
      </c>
      <c r="B4" s="14" t="s">
        <v>138</v>
      </c>
      <c r="C4" s="14" t="s">
        <v>139</v>
      </c>
      <c r="D4" s="14" t="s">
        <v>140</v>
      </c>
      <c r="E4" s="14">
        <v>2018</v>
      </c>
      <c r="F4" s="14" t="s">
        <v>141</v>
      </c>
      <c r="G4" s="14" t="s">
        <v>142</v>
      </c>
      <c r="H4" s="17" t="s">
        <v>143</v>
      </c>
      <c r="I4" s="14" t="s">
        <v>144</v>
      </c>
      <c r="J4" s="14" t="s">
        <v>145</v>
      </c>
      <c r="K4" s="14" t="s">
        <v>146</v>
      </c>
    </row>
    <row r="5" spans="1:11" ht="60" x14ac:dyDescent="0.25">
      <c r="A5" s="14" t="str">
        <f t="shared" si="0"/>
        <v>Han_2023</v>
      </c>
      <c r="B5" s="14" t="s">
        <v>147</v>
      </c>
      <c r="C5" s="14" t="s">
        <v>148</v>
      </c>
      <c r="D5" s="14" t="s">
        <v>149</v>
      </c>
      <c r="E5" s="14">
        <v>2023</v>
      </c>
      <c r="F5" s="14" t="s">
        <v>150</v>
      </c>
      <c r="G5" s="14" t="s">
        <v>151</v>
      </c>
      <c r="H5" s="17" t="s">
        <v>152</v>
      </c>
      <c r="I5" s="14" t="s">
        <v>153</v>
      </c>
      <c r="J5" s="14" t="s">
        <v>154</v>
      </c>
      <c r="K5" s="14"/>
    </row>
    <row r="6" spans="1:11" ht="60" x14ac:dyDescent="0.25">
      <c r="A6" s="14" t="str">
        <f t="shared" si="0"/>
        <v>Micali_2024</v>
      </c>
      <c r="B6" s="14" t="s">
        <v>155</v>
      </c>
      <c r="C6" s="14" t="s">
        <v>156</v>
      </c>
      <c r="D6" s="14" t="s">
        <v>157</v>
      </c>
      <c r="E6" s="14">
        <v>2024</v>
      </c>
      <c r="F6" s="14" t="s">
        <v>158</v>
      </c>
      <c r="G6" s="14" t="s">
        <v>159</v>
      </c>
      <c r="H6" s="17" t="s">
        <v>160</v>
      </c>
      <c r="I6" s="14" t="s">
        <v>161</v>
      </c>
      <c r="J6" s="14" t="s">
        <v>162</v>
      </c>
      <c r="K6" s="14"/>
    </row>
  </sheetData>
  <hyperlinks>
    <hyperlink ref="H2" r:id="rId1" xr:uid="{C3C31C81-1177-4BFB-BED3-C441B3F1B7F0}"/>
    <hyperlink ref="H3" r:id="rId2" xr:uid="{7B07CD84-1D75-4B8E-BDEF-A8470BB1CA0D}"/>
    <hyperlink ref="H4" r:id="rId3" xr:uid="{EDC8CD62-DE63-4238-9049-2741E5A81083}"/>
    <hyperlink ref="H5" r:id="rId4" xr:uid="{BAE52EAB-69CE-4263-B876-0822EC326AE7}"/>
    <hyperlink ref="H6" r:id="rId5" xr:uid="{7871054F-5B71-4D32-AD25-DE0ACD627B0E}"/>
  </hyperlinks>
  <pageMargins left="0.7" right="0.7" top="0.75" bottom="0.75" header="0.3" footer="0.3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BA5A-F430-47FB-A80D-E35D6D1CFF6C}">
  <dimension ref="A1:AA23"/>
  <sheetViews>
    <sheetView workbookViewId="0">
      <selection activeCell="F10" sqref="F10"/>
    </sheetView>
  </sheetViews>
  <sheetFormatPr defaultRowHeight="15" x14ac:dyDescent="0.25"/>
  <cols>
    <col min="1" max="1" width="14.28515625" bestFit="1" customWidth="1"/>
    <col min="2" max="2" width="20.28515625" customWidth="1"/>
    <col min="3" max="3" width="23.42578125" customWidth="1"/>
    <col min="4" max="7" width="15.5703125" customWidth="1"/>
    <col min="8" max="8" width="15.85546875" customWidth="1"/>
    <col min="9" max="14" width="14.7109375" customWidth="1"/>
    <col min="15" max="15" width="16.28515625" customWidth="1"/>
    <col min="16" max="16" width="14.7109375" customWidth="1"/>
    <col min="17" max="17" width="11" customWidth="1"/>
    <col min="18" max="27" width="14.7109375" customWidth="1"/>
  </cols>
  <sheetData>
    <row r="1" spans="1:27" ht="60" x14ac:dyDescent="0.25">
      <c r="A1" s="14" t="s">
        <v>85</v>
      </c>
      <c r="B1" s="14" t="s">
        <v>67</v>
      </c>
      <c r="C1" s="14" t="s">
        <v>89</v>
      </c>
      <c r="D1" s="14" t="s">
        <v>90</v>
      </c>
      <c r="E1" s="14" t="s">
        <v>107</v>
      </c>
      <c r="F1" s="14" t="s">
        <v>106</v>
      </c>
      <c r="G1" s="14" t="s">
        <v>112</v>
      </c>
      <c r="H1" s="14" t="s">
        <v>91</v>
      </c>
      <c r="I1" s="14" t="s">
        <v>92</v>
      </c>
      <c r="J1" s="14" t="s">
        <v>93</v>
      </c>
      <c r="K1" s="14" t="s">
        <v>94</v>
      </c>
      <c r="L1" s="14" t="s">
        <v>111</v>
      </c>
      <c r="M1" s="14" t="s">
        <v>95</v>
      </c>
      <c r="N1" s="14" t="s">
        <v>96</v>
      </c>
      <c r="O1" s="14" t="s">
        <v>97</v>
      </c>
      <c r="P1" s="14" t="s">
        <v>98</v>
      </c>
      <c r="Q1" s="14" t="s">
        <v>99</v>
      </c>
      <c r="R1" s="14" t="s">
        <v>100</v>
      </c>
      <c r="S1" s="14" t="s">
        <v>101</v>
      </c>
      <c r="T1" s="14" t="s">
        <v>102</v>
      </c>
      <c r="U1" s="14" t="s">
        <v>103</v>
      </c>
      <c r="V1" s="14" t="s">
        <v>104</v>
      </c>
      <c r="W1" s="14" t="s">
        <v>105</v>
      </c>
      <c r="X1" s="14" t="s">
        <v>108</v>
      </c>
      <c r="Y1" s="14" t="s">
        <v>109</v>
      </c>
      <c r="Z1" s="14" t="s">
        <v>110</v>
      </c>
      <c r="AA1" s="14" t="s">
        <v>86</v>
      </c>
    </row>
    <row r="2" spans="1:27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5">
      <c r="Q10" s="16"/>
    </row>
    <row r="11" spans="1:27" x14ac:dyDescent="0.25">
      <c r="Q11" s="16"/>
    </row>
    <row r="12" spans="1:27" x14ac:dyDescent="0.25">
      <c r="Q12" s="16"/>
    </row>
    <row r="13" spans="1:27" x14ac:dyDescent="0.25">
      <c r="Q13" s="16"/>
    </row>
    <row r="14" spans="1:27" x14ac:dyDescent="0.25">
      <c r="Q14" s="16"/>
    </row>
    <row r="15" spans="1:27" x14ac:dyDescent="0.25">
      <c r="Q15" s="16"/>
    </row>
    <row r="16" spans="1:27" x14ac:dyDescent="0.25">
      <c r="Q16" s="16"/>
    </row>
    <row r="17" spans="17:17" x14ac:dyDescent="0.25">
      <c r="Q17" s="16"/>
    </row>
    <row r="18" spans="17:17" x14ac:dyDescent="0.25">
      <c r="Q18" s="16"/>
    </row>
    <row r="19" spans="17:17" x14ac:dyDescent="0.25">
      <c r="Q19" s="16"/>
    </row>
    <row r="20" spans="17:17" x14ac:dyDescent="0.25">
      <c r="Q20" s="16"/>
    </row>
    <row r="21" spans="17:17" x14ac:dyDescent="0.25">
      <c r="Q21" s="16"/>
    </row>
    <row r="22" spans="17:17" x14ac:dyDescent="0.25">
      <c r="Q22" s="16"/>
    </row>
    <row r="23" spans="17:17" x14ac:dyDescent="0.25">
      <c r="Q23" s="1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9BF6-879F-4F96-BE41-29CA70B4254F}">
  <dimension ref="A1:O6"/>
  <sheetViews>
    <sheetView workbookViewId="0">
      <selection activeCell="A2" sqref="A2"/>
    </sheetView>
  </sheetViews>
  <sheetFormatPr defaultRowHeight="15" x14ac:dyDescent="0.25"/>
  <cols>
    <col min="1" max="1" width="25.42578125" customWidth="1"/>
    <col min="2" max="2" width="32" customWidth="1"/>
    <col min="3" max="15" width="46.5703125" customWidth="1"/>
  </cols>
  <sheetData>
    <row r="1" spans="1:15" x14ac:dyDescent="0.25">
      <c r="A1" s="2" t="s">
        <v>67</v>
      </c>
      <c r="B1" s="3" t="s">
        <v>68</v>
      </c>
      <c r="C1" s="3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  <c r="L1" s="4" t="s">
        <v>78</v>
      </c>
      <c r="M1" s="4" t="s">
        <v>79</v>
      </c>
      <c r="N1" s="4" t="s">
        <v>80</v>
      </c>
      <c r="O1" s="5" t="s">
        <v>81</v>
      </c>
    </row>
    <row r="2" spans="1:15" x14ac:dyDescent="0.25">
      <c r="A2" s="6"/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x14ac:dyDescent="0.25">
      <c r="A3" s="10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x14ac:dyDescent="0.25">
      <c r="A4" s="6"/>
      <c r="B4" s="7"/>
      <c r="C4" s="7"/>
      <c r="D4" s="8"/>
      <c r="E4" s="8" t="s">
        <v>82</v>
      </c>
      <c r="F4" s="8" t="s">
        <v>83</v>
      </c>
      <c r="G4" s="8" t="s">
        <v>84</v>
      </c>
      <c r="H4" s="8"/>
      <c r="I4" s="8"/>
      <c r="J4" s="8"/>
      <c r="K4" s="8"/>
      <c r="L4" s="8"/>
      <c r="M4" s="8"/>
      <c r="N4" s="8"/>
      <c r="O4" s="9"/>
    </row>
    <row r="5" spans="1:15" x14ac:dyDescent="0.25">
      <c r="A5" s="10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x14ac:dyDescent="0.25">
      <c r="A6" s="6"/>
      <c r="B6" s="7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DAED-7157-4BB5-8D42-DDC490E50738}">
  <dimension ref="A1:C23"/>
  <sheetViews>
    <sheetView workbookViewId="0">
      <selection activeCell="A2" sqref="A2"/>
    </sheetView>
  </sheetViews>
  <sheetFormatPr defaultRowHeight="15" x14ac:dyDescent="0.25"/>
  <cols>
    <col min="1" max="1" width="25.140625" bestFit="1" customWidth="1"/>
    <col min="2" max="2" width="34.7109375" bestFit="1" customWidth="1"/>
    <col min="3" max="3" width="104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6</v>
      </c>
      <c r="B3" s="1" t="s">
        <v>7</v>
      </c>
      <c r="C3" s="1" t="s">
        <v>8</v>
      </c>
    </row>
    <row r="4" spans="1:3" ht="30" x14ac:dyDescent="0.25">
      <c r="A4" s="1" t="s">
        <v>9</v>
      </c>
      <c r="B4" s="1" t="s">
        <v>10</v>
      </c>
      <c r="C4" s="1" t="s">
        <v>11</v>
      </c>
    </row>
    <row r="5" spans="1:3" ht="30" x14ac:dyDescent="0.25">
      <c r="A5" s="1" t="s">
        <v>12</v>
      </c>
      <c r="B5" s="1" t="s">
        <v>13</v>
      </c>
      <c r="C5" s="1" t="s">
        <v>14</v>
      </c>
    </row>
    <row r="6" spans="1:3" ht="30" x14ac:dyDescent="0.25">
      <c r="A6" s="1" t="s">
        <v>15</v>
      </c>
      <c r="B6" s="1" t="s">
        <v>16</v>
      </c>
      <c r="C6" s="1" t="s">
        <v>17</v>
      </c>
    </row>
    <row r="7" spans="1:3" ht="30" x14ac:dyDescent="0.25">
      <c r="A7" s="1" t="s">
        <v>18</v>
      </c>
      <c r="B7" s="1" t="s">
        <v>19</v>
      </c>
      <c r="C7" s="1" t="s">
        <v>20</v>
      </c>
    </row>
    <row r="8" spans="1:3" ht="30" x14ac:dyDescent="0.25">
      <c r="A8" s="1" t="s">
        <v>21</v>
      </c>
      <c r="B8" s="1" t="s">
        <v>22</v>
      </c>
      <c r="C8" s="1" t="s">
        <v>23</v>
      </c>
    </row>
    <row r="9" spans="1:3" ht="30" x14ac:dyDescent="0.25">
      <c r="A9" s="1" t="s">
        <v>24</v>
      </c>
      <c r="B9" s="1" t="s">
        <v>25</v>
      </c>
      <c r="C9" s="1" t="s">
        <v>26</v>
      </c>
    </row>
    <row r="10" spans="1:3" ht="30" x14ac:dyDescent="0.25">
      <c r="A10" s="1" t="s">
        <v>27</v>
      </c>
      <c r="B10" s="1" t="s">
        <v>28</v>
      </c>
      <c r="C10" s="1" t="s">
        <v>29</v>
      </c>
    </row>
    <row r="11" spans="1:3" ht="30" x14ac:dyDescent="0.25">
      <c r="A11" s="1" t="s">
        <v>30</v>
      </c>
      <c r="B11" s="1" t="s">
        <v>31</v>
      </c>
      <c r="C11" s="1" t="s">
        <v>32</v>
      </c>
    </row>
    <row r="12" spans="1:3" ht="30" x14ac:dyDescent="0.25">
      <c r="A12" s="1" t="s">
        <v>33</v>
      </c>
      <c r="B12" s="1" t="s">
        <v>34</v>
      </c>
      <c r="C12" s="1" t="s">
        <v>35</v>
      </c>
    </row>
    <row r="13" spans="1:3" ht="30" x14ac:dyDescent="0.25">
      <c r="A13" s="1" t="s">
        <v>36</v>
      </c>
      <c r="B13" s="1" t="s">
        <v>37</v>
      </c>
      <c r="C13" s="1" t="s">
        <v>38</v>
      </c>
    </row>
    <row r="14" spans="1:3" ht="30" x14ac:dyDescent="0.25">
      <c r="A14" s="1" t="s">
        <v>39</v>
      </c>
      <c r="B14" s="1" t="s">
        <v>40</v>
      </c>
      <c r="C14" s="1" t="s">
        <v>41</v>
      </c>
    </row>
    <row r="15" spans="1:3" ht="30" x14ac:dyDescent="0.25">
      <c r="A15" s="1" t="s">
        <v>42</v>
      </c>
      <c r="B15" s="1" t="s">
        <v>43</v>
      </c>
      <c r="C15" s="1" t="s">
        <v>44</v>
      </c>
    </row>
    <row r="16" spans="1:3" ht="30" x14ac:dyDescent="0.25">
      <c r="A16" s="1" t="s">
        <v>45</v>
      </c>
      <c r="B16" s="1" t="s">
        <v>46</v>
      </c>
      <c r="C16" s="1" t="s">
        <v>47</v>
      </c>
    </row>
    <row r="17" spans="1:3" ht="30" x14ac:dyDescent="0.25">
      <c r="A17" s="1" t="s">
        <v>48</v>
      </c>
      <c r="B17" s="1" t="s">
        <v>49</v>
      </c>
      <c r="C17" s="1" t="s">
        <v>50</v>
      </c>
    </row>
    <row r="18" spans="1:3" ht="30" x14ac:dyDescent="0.25">
      <c r="A18" s="1" t="s">
        <v>51</v>
      </c>
      <c r="B18" s="1" t="s">
        <v>52</v>
      </c>
      <c r="C18" s="1" t="s">
        <v>53</v>
      </c>
    </row>
    <row r="19" spans="1:3" ht="30" x14ac:dyDescent="0.25">
      <c r="A19" s="1" t="s">
        <v>54</v>
      </c>
      <c r="B19" s="1" t="s">
        <v>55</v>
      </c>
      <c r="C19" s="1" t="s">
        <v>56</v>
      </c>
    </row>
    <row r="20" spans="1:3" ht="30" x14ac:dyDescent="0.25">
      <c r="A20" s="1" t="s">
        <v>57</v>
      </c>
      <c r="B20" s="1" t="s">
        <v>55</v>
      </c>
      <c r="C20" s="1" t="s">
        <v>58</v>
      </c>
    </row>
    <row r="21" spans="1:3" x14ac:dyDescent="0.25">
      <c r="A21" s="1" t="s">
        <v>59</v>
      </c>
      <c r="B21" s="1" t="s">
        <v>55</v>
      </c>
      <c r="C21" s="1" t="s">
        <v>60</v>
      </c>
    </row>
    <row r="22" spans="1:3" ht="30" x14ac:dyDescent="0.25">
      <c r="A22" s="1" t="s">
        <v>61</v>
      </c>
      <c r="B22" s="1" t="s">
        <v>62</v>
      </c>
      <c r="C22" s="1" t="s">
        <v>63</v>
      </c>
    </row>
    <row r="23" spans="1:3" ht="30" x14ac:dyDescent="0.25">
      <c r="A23" s="1" t="s">
        <v>64</v>
      </c>
      <c r="B23" s="1" t="s">
        <v>65</v>
      </c>
      <c r="C2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Papers</vt:lpstr>
      <vt:lpstr>Reported Data</vt:lpstr>
      <vt:lpstr>Notes</vt:lpstr>
      <vt:lpstr>how_to_use</vt:lpstr>
    </vt:vector>
  </TitlesOfParts>
  <Company>University of Oxford, Department of Materials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Maritz</dc:creator>
  <cp:lastModifiedBy>Mikael Maritz</cp:lastModifiedBy>
  <dcterms:created xsi:type="dcterms:W3CDTF">2026-08-17T13:34:39Z</dcterms:created>
  <dcterms:modified xsi:type="dcterms:W3CDTF">2026-08-17T13:45:01Z</dcterms:modified>
</cp:coreProperties>
</file>